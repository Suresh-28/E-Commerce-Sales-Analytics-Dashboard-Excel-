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
    </mc:Choice>
  </mc:AlternateContent>
  <xr:revisionPtr revIDLastSave="0" documentId="13_ncr:1_{FF2C2FD1-476A-4593-AE81-D6634A57F853}" xr6:coauthVersionLast="47" xr6:coauthVersionMax="47" xr10:uidLastSave="{00000000-0000-0000-0000-000000000000}"/>
  <bookViews>
    <workbookView xWindow="-108" yWindow="-108" windowWidth="23256" windowHeight="12456" firstSheet="6" activeTab="11" xr2:uid="{346724B3-1C49-40AE-AA36-C77CF5D6DD09}"/>
  </bookViews>
  <sheets>
    <sheet name="Sheet1" sheetId="5" r:id="rId1"/>
    <sheet name="Sheet2" sheetId="6" r:id="rId2"/>
    <sheet name="Sheet3" sheetId="7" r:id="rId3"/>
    <sheet name="Sheet4" sheetId="8" r:id="rId4"/>
    <sheet name="Sheet5" sheetId="9" r:id="rId5"/>
    <sheet name="Sheet6" sheetId="10" r:id="rId6"/>
    <sheet name="Sheet7" sheetId="11" r:id="rId7"/>
    <sheet name="Sheet8" sheetId="12" r:id="rId8"/>
    <sheet name="Sheet9" sheetId="13" r:id="rId9"/>
    <sheet name="Data" sheetId="1" r:id="rId10"/>
    <sheet name="Questions &amp; KPIs" sheetId="2" r:id="rId11"/>
    <sheet name="Dashboard" sheetId="3" r:id="rId12"/>
  </sheets>
  <definedNames>
    <definedName name="_xlchart.v1.0" hidden="1">Sheet2!$H$5:$H$9</definedName>
    <definedName name="_xlchart.v1.1" hidden="1">Sheet2!$I$4</definedName>
    <definedName name="_xlchart.v1.10" hidden="1">Sheet2!$I$4</definedName>
    <definedName name="_xlchart.v1.11" hidden="1">Sheet2!$I$5:$I$9</definedName>
    <definedName name="_xlchart.v1.12" hidden="1">Sheet2!$J$4</definedName>
    <definedName name="_xlchart.v1.13" hidden="1">Sheet2!$J$5:$J$9</definedName>
    <definedName name="_xlchart.v1.14" hidden="1">Sheet2!$K$4</definedName>
    <definedName name="_xlchart.v1.15" hidden="1">Sheet2!$K$5:$K$9</definedName>
    <definedName name="_xlchart.v1.16" hidden="1">Sheet2!$L$4</definedName>
    <definedName name="_xlchart.v1.17" hidden="1">Sheet2!$L$5:$L$9</definedName>
    <definedName name="_xlchart.v1.2" hidden="1">Sheet2!$I$5:$I$9</definedName>
    <definedName name="_xlchart.v1.3" hidden="1">Sheet2!$J$4</definedName>
    <definedName name="_xlchart.v1.4" hidden="1">Sheet2!$J$5:$J$9</definedName>
    <definedName name="_xlchart.v1.5" hidden="1">Sheet2!$K$4</definedName>
    <definedName name="_xlchart.v1.6" hidden="1">Sheet2!$K$5:$K$9</definedName>
    <definedName name="_xlchart.v1.7" hidden="1">Sheet2!$L$4</definedName>
    <definedName name="_xlchart.v1.8" hidden="1">Sheet2!$L$5:$L$9</definedName>
    <definedName name="_xlchart.v1.9" hidden="1">Sheet2!$H$5:$H$9</definedName>
    <definedName name="Slicer_Customer_Gender">#N/A</definedName>
    <definedName name="Slicer_Order_Mod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4" i="3" l="1"/>
  <c r="U14" i="3"/>
  <c r="T14" i="3"/>
  <c r="S14" i="3"/>
  <c r="R14" i="3"/>
  <c r="V13" i="3"/>
  <c r="U13" i="3"/>
  <c r="T13" i="3"/>
  <c r="S13" i="3"/>
  <c r="R13" i="3"/>
  <c r="V12" i="3"/>
  <c r="U12" i="3"/>
  <c r="T12" i="3"/>
  <c r="S12" i="3"/>
  <c r="R12" i="3"/>
  <c r="V11" i="3"/>
  <c r="U11" i="3"/>
  <c r="T11" i="3"/>
  <c r="S11" i="3"/>
  <c r="R11" i="3"/>
  <c r="V10" i="3"/>
  <c r="U10" i="3"/>
  <c r="T10" i="3"/>
  <c r="S10" i="3"/>
  <c r="R10" i="3"/>
  <c r="V9" i="3"/>
  <c r="U9" i="3"/>
  <c r="T9" i="3"/>
  <c r="S9" i="3"/>
  <c r="H6" i="6"/>
  <c r="I6" i="6"/>
  <c r="J6" i="6"/>
  <c r="K6" i="6"/>
  <c r="L6" i="6"/>
  <c r="H7" i="6"/>
  <c r="I7" i="6"/>
  <c r="J7" i="6"/>
  <c r="K7" i="6"/>
  <c r="L7" i="6"/>
  <c r="H8" i="6"/>
  <c r="I8" i="6"/>
  <c r="J8" i="6"/>
  <c r="K8" i="6"/>
  <c r="L8" i="6"/>
  <c r="H9" i="6"/>
  <c r="I9" i="6"/>
  <c r="J9" i="6"/>
  <c r="K9" i="6"/>
  <c r="L9" i="6"/>
  <c r="I5" i="6"/>
  <c r="J5" i="6"/>
  <c r="K5" i="6"/>
  <c r="L5" i="6"/>
  <c r="L4" i="6"/>
  <c r="J4" i="6"/>
  <c r="K4" i="6"/>
  <c r="I4" i="6"/>
  <c r="H5"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 r="J4" i="5"/>
  <c r="I4" i="5"/>
  <c r="H4" i="5"/>
  <c r="K4" i="5"/>
  <c r="L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<sst xmlns="http://schemas.openxmlformats.org/spreadsheetml/2006/main" count="14578" uniqueCount="2539">
  <si>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</si>
  <si>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</si>
  <si>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</si>
  <si>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</si>
  <si>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</si>
  <si>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</si>
  <si>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</si>
  <si>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</si>
  <si>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</si>
  <si>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</si>
  <si>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</si>
  <si>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</si>
  <si>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</si>
  <si>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</si>
  <si>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</si>
  <si>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</si>
  <si>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</si>
  <si>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</si>
  <si>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</si>
  <si>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</si>
  <si>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</si>
  <si>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</si>
  <si>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</si>
  <si>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</si>
  <si>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</si>
  <si>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</si>
  <si>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</si>
  <si>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</si>
  <si>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</si>
  <si>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</si>
  <si>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</si>
  <si>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</si>
  <si>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</si>
  <si>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</si>
  <si>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</si>
  <si>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</si>
  <si>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</si>
  <si>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</si>
  <si>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</si>
  <si>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</si>
  <si>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</si>
  <si>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</si>
  <si>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</si>
  <si>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</si>
  <si>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</si>
  <si>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</si>
  <si>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</si>
  <si>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</si>
  <si>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</si>
  <si>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</si>
  <si>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</si>
  <si>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</si>
  <si>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</si>
  <si>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</si>
  <si>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</si>
  <si>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</si>
  <si>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</si>
  <si>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</si>
  <si>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</si>
  <si>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</si>
  <si>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</si>
  <si>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</si>
  <si>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</si>
  <si>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</si>
  <si>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</si>
  <si>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</si>
  <si>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</si>
  <si>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</si>
  <si>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</si>
  <si>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</si>
  <si>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</si>
  <si>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</si>
  <si>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</si>
  <si>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</si>
  <si>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</si>
  <si>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</si>
  <si>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</si>
  <si>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</si>
  <si>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</si>
  <si>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</si>
  <si>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</si>
  <si>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</si>
  <si>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</si>
  <si>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</si>
  <si>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</si>
  <si>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</si>
  <si>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</si>
  <si>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</si>
  <si>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</si>
  <si>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</si>
  <si>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</si>
  <si>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</si>
  <si>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</si>
  <si>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</si>
  <si>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</si>
  <si>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</si>
  <si>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</si>
  <si>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</si>
  <si>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</si>
  <si>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</si>
  <si>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</si>
  <si>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</si>
  <si>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</si>
  <si>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</si>
  <si>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</si>
  <si>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</si>
  <si>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</si>
  <si>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</si>
  <si>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</si>
  <si>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</si>
  <si>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</si>
  <si>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</si>
  <si>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</si>
  <si>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</si>
  <si>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</si>
  <si>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</si>
  <si>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</si>
  <si>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</si>
  <si>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</si>
  <si>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</si>
  <si>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</si>
  <si>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</si>
  <si>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</si>
  <si>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</si>
  <si>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</si>
  <si>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</si>
  <si>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</si>
  <si>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</si>
  <si>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</si>
  <si>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</si>
  <si>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</si>
  <si>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</si>
  <si>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</si>
  <si>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</si>
  <si>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</si>
  <si>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</si>
  <si>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</si>
  <si>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</si>
  <si>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</si>
  <si>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</si>
  <si>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</si>
  <si>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</si>
  <si>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</si>
  <si>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</si>
  <si>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</si>
  <si>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</si>
  <si>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</si>
  <si>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</si>
  <si>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</si>
  <si>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</si>
  <si>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</si>
  <si>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</si>
  <si>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</si>
  <si>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</si>
  <si>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</si>
  <si>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</si>
  <si>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</si>
  <si>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</si>
  <si>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</si>
  <si>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</si>
  <si>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</si>
  <si>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</si>
  <si>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</si>
  <si>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</si>
  <si>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</si>
  <si>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</si>
  <si>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</si>
  <si>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</si>
  <si>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</si>
  <si>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</si>
  <si>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</si>
  <si>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</si>
  <si>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</si>
  <si>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</si>
  <si>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</si>
  <si>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</si>
  <si>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</si>
  <si>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</si>
  <si>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</si>
  <si>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</si>
  <si>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</si>
  <si>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</si>
  <si>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</si>
  <si>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</si>
  <si>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</si>
  <si>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</si>
  <si>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</si>
  <si>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</si>
  <si>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</si>
  <si>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</si>
  <si>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</si>
  <si>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</si>
  <si>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</si>
  <si>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</si>
  <si>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</si>
  <si>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</si>
  <si>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</si>
  <si>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</si>
  <si>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</si>
  <si>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</si>
  <si>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</si>
  <si>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</si>
  <si>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</si>
  <si>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</si>
  <si>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</si>
  <si>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</si>
  <si>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</si>
  <si>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</si>
  <si>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</si>
  <si>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</si>
  <si>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</si>
  <si>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</si>
  <si>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</si>
  <si>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</si>
  <si>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</si>
  <si>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</si>
  <si>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</si>
  <si>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</si>
  <si>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</si>
  <si>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</si>
  <si>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</si>
  <si>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</si>
  <si>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</si>
  <si>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</si>
  <si>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</si>
  <si>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</si>
  <si>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</si>
  <si>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</si>
  <si>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</si>
  <si>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</si>
  <si>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</si>
  <si>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</si>
  <si>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</si>
  <si>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</si>
  <si>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</si>
  <si>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</si>
  <si>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</si>
  <si>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</si>
  <si>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</si>
  <si>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</si>
  <si>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</si>
  <si>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</si>
  <si>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</si>
  <si>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</si>
  <si>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</si>
  <si>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</si>
  <si>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</si>
  <si>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</si>
  <si>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</si>
  <si>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</si>
  <si>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</si>
  <si>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</si>
  <si>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</si>
  <si>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</si>
  <si>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</si>
  <si>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</si>
  <si>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</si>
  <si>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</si>
  <si>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</si>
  <si>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</si>
  <si>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</si>
  <si>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</si>
  <si>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</si>
  <si>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</si>
  <si>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</si>
  <si>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</si>
  <si>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</si>
  <si>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</si>
  <si>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</si>
  <si>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</si>
  <si>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</si>
  <si>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</si>
  <si>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</si>
  <si>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</si>
  <si>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</si>
  <si>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</si>
  <si>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</si>
  <si>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</si>
  <si>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</si>
  <si>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</si>
  <si>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</si>
  <si>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</si>
  <si>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</si>
  <si>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</si>
  <si>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</si>
  <si>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</si>
  <si>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</si>
  <si>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</si>
  <si>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</si>
  <si>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</si>
  <si>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</si>
  <si>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</si>
  <si>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</si>
  <si>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</si>
  <si>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</si>
  <si>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</si>
  <si>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</si>
  <si>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</si>
  <si>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</si>
  <si>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</si>
  <si>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</si>
  <si>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</si>
  <si>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</si>
  <si>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</si>
  <si>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</si>
  <si>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</si>
  <si>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</si>
  <si>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</si>
  <si>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</si>
  <si>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</si>
  <si>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</si>
  <si>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</si>
  <si>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</si>
  <si>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</si>
  <si>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</si>
  <si>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</si>
  <si>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</si>
  <si>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</si>
  <si>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</si>
  <si>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</si>
  <si>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</si>
  <si>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</si>
  <si>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</si>
  <si>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</si>
  <si>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</si>
  <si>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</si>
  <si>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</si>
  <si>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</si>
  <si>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</si>
  <si>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</si>
  <si>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</si>
  <si>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</si>
  <si>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</si>
  <si>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</si>
  <si>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</si>
  <si>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</si>
  <si>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</si>
  <si>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</si>
  <si>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</si>
  <si>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</si>
  <si>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</si>
  <si>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</si>
  <si>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</si>
  <si>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</si>
  <si>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</si>
  <si>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</si>
  <si>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</si>
  <si>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</si>
  <si>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</si>
  <si>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</si>
  <si>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</si>
  <si>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</si>
  <si>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</si>
  <si>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</si>
  <si>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</si>
  <si>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</si>
  <si>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</si>
  <si>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</si>
  <si>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</si>
  <si>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</si>
  <si>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</si>
  <si>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</si>
  <si>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</si>
  <si>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</si>
  <si>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</si>
  <si>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</si>
  <si>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</si>
  <si>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</si>
  <si>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</si>
  <si>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</si>
  <si>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</si>
  <si>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</si>
  <si>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</si>
  <si>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</si>
  <si>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</si>
  <si>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</si>
  <si>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</si>
  <si>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</si>
  <si>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</si>
  <si>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</si>
  <si>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</si>
  <si>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</si>
  <si>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</si>
  <si>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</si>
  <si>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</si>
  <si>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</si>
  <si>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</si>
  <si>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</si>
  <si>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</si>
  <si>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</si>
  <si>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</si>
  <si>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</si>
  <si>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</si>
  <si>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</si>
  <si>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</si>
  <si>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</si>
  <si>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</si>
  <si>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</si>
  <si>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</si>
  <si>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</si>
  <si>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</si>
  <si>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</si>
  <si>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</si>
  <si>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</si>
  <si>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</si>
  <si>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</si>
  <si>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</si>
  <si>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</si>
  <si>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</si>
  <si>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</si>
  <si>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</si>
  <si>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</si>
  <si>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</si>
  <si>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</si>
  <si>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</si>
  <si>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</si>
  <si>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</si>
  <si>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</si>
  <si>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</si>
  <si>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</si>
  <si>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</si>
  <si>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</si>
  <si>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</si>
  <si>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</si>
  <si>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</si>
  <si>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</si>
  <si>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</si>
  <si>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</si>
  <si>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</si>
  <si>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</si>
  <si>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</si>
  <si>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</si>
  <si>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</si>
  <si>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</si>
  <si>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</si>
  <si>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</si>
  <si>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</si>
  <si>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</si>
  <si>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</si>
  <si>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</si>
  <si>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</si>
  <si>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</si>
  <si>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</si>
  <si>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</si>
  <si>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</si>
  <si>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</si>
  <si>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</si>
  <si>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</si>
  <si>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</si>
  <si>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</si>
  <si>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</si>
  <si>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</si>
  <si>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</si>
  <si>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</si>
  <si>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</si>
  <si>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</si>
  <si>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</si>
  <si>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</si>
  <si>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</si>
  <si>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</si>
  <si>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</si>
  <si>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</si>
  <si>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</si>
  <si>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</si>
  <si>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</si>
  <si>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</si>
  <si>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</si>
  <si>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</si>
  <si>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</si>
  <si>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</si>
  <si>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</si>
  <si>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</si>
  <si>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</si>
  <si>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</si>
  <si>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</si>
  <si>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</si>
  <si>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</si>
  <si>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</si>
  <si>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</si>
  <si>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</si>
  <si>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</si>
  <si>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</si>
  <si>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</si>
  <si>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</si>
  <si>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</si>
  <si>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</si>
  <si>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</si>
  <si>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</si>
  <si>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</si>
  <si>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</si>
  <si>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</si>
  <si>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</si>
  <si>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</si>
  <si>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</si>
  <si>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</si>
  <si>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</si>
  <si>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</si>
  <si>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</si>
  <si>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</si>
  <si>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</si>
  <si>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</si>
  <si>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</si>
  <si>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</si>
  <si>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</si>
  <si>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</si>
  <si>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</si>
  <si>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</si>
  <si>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</si>
  <si>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</si>
  <si>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</si>
  <si>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</si>
  <si>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</si>
  <si>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</si>
  <si>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</si>
  <si>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</si>
  <si>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</si>
  <si>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</si>
  <si>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</si>
  <si>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</si>
  <si>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</si>
  <si>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</si>
  <si>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</si>
  <si>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</si>
  <si>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</si>
  <si>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</si>
  <si>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</si>
  <si>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</si>
  <si>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</si>
  <si>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</si>
  <si>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</si>
  <si>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</si>
  <si>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</si>
  <si>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</si>
  <si>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</si>
  <si>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</si>
  <si>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</si>
  <si>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</si>
  <si>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</si>
  <si>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</si>
  <si>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</si>
  <si>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</si>
  <si>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</si>
  <si>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</si>
  <si>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</si>
  <si>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</si>
  <si>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</si>
  <si>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</si>
  <si>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</si>
  <si>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</si>
  <si>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</si>
  <si>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</si>
  <si>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</si>
  <si>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</si>
  <si>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</si>
  <si>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</si>
  <si>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</si>
  <si>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</si>
  <si>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</si>
  <si>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</si>
  <si>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</si>
  <si>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</si>
  <si>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</si>
  <si>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</si>
  <si>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</si>
  <si>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</si>
  <si>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</si>
  <si>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</si>
  <si>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</si>
  <si>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</si>
  <si>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</si>
  <si>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</si>
  <si>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</si>
  <si>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</si>
  <si>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</si>
  <si>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</si>
  <si>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</si>
  <si>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</si>
  <si>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</si>
  <si>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</si>
  <si>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</si>
  <si>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</si>
  <si>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</si>
  <si>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</si>
  <si>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</si>
  <si>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</si>
  <si>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</si>
  <si>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</si>
  <si>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</si>
  <si>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</si>
  <si>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</si>
  <si>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</si>
  <si>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</si>
  <si>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</si>
  <si>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</si>
  <si>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</si>
  <si>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</si>
  <si>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</si>
  <si>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</si>
  <si>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</si>
  <si>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</si>
  <si>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</si>
  <si>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</si>
  <si>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</si>
  <si>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</si>
  <si>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</si>
  <si>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</si>
  <si>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</si>
  <si>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</si>
  <si>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</si>
  <si>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</si>
  <si>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</si>
  <si>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</si>
  <si>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</si>
  <si>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</si>
  <si>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</si>
  <si>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</si>
  <si>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</si>
  <si>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</si>
  <si>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</si>
  <si>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</si>
  <si>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</si>
  <si>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</si>
  <si>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</si>
  <si>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</si>
  <si>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</si>
  <si>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</si>
  <si>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</si>
  <si>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</si>
  <si>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</si>
  <si>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</si>
  <si>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</si>
  <si>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</si>
  <si>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</si>
  <si>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</si>
  <si>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</si>
  <si>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</si>
  <si>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</si>
  <si>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</si>
  <si>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</si>
  <si>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</si>
  <si>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</si>
  <si>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</si>
  <si>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</si>
  <si>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</si>
  <si>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</si>
  <si>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</si>
  <si>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</si>
  <si>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</si>
  <si>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</si>
  <si>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</si>
  <si>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</si>
  <si>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</si>
  <si>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</si>
  <si>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</si>
  <si>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</si>
  <si>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</si>
  <si>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</si>
  <si>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</si>
  <si>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</si>
  <si>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</si>
  <si>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</si>
  <si>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</si>
  <si>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</si>
  <si>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</si>
  <si>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</si>
  <si>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</si>
  <si>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</si>
  <si>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</si>
  <si>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</si>
  <si>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</si>
  <si>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</si>
  <si>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</si>
  <si>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</si>
  <si>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</si>
  <si>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</si>
  <si>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</si>
  <si>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</si>
  <si>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</si>
  <si>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</si>
  <si>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</si>
  <si>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</si>
  <si>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</si>
  <si>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</si>
  <si>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</si>
  <si>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</si>
  <si>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</si>
  <si>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</si>
  <si>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</si>
  <si>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</si>
  <si>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</si>
  <si>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</si>
  <si>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</si>
  <si>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</si>
  <si>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</si>
  <si>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</si>
  <si>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</si>
  <si>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</si>
  <si>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</si>
  <si>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</si>
  <si>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</si>
  <si>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</si>
  <si>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</si>
  <si>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</si>
  <si>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</si>
  <si>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</si>
  <si>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</si>
  <si>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</si>
  <si>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</si>
  <si>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</si>
  <si>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</si>
  <si>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</si>
  <si>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</si>
  <si>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</si>
  <si>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</si>
  <si>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</si>
  <si>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</si>
  <si>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</si>
  <si>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</si>
  <si>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</si>
  <si>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</si>
  <si>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</si>
  <si>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</si>
  <si>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</si>
  <si>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</si>
  <si>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</si>
  <si>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</si>
  <si>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</si>
  <si>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</si>
  <si>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</si>
  <si>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</si>
  <si>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</si>
  <si>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</si>
  <si>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</si>
  <si>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</si>
  <si>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</si>
  <si>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</si>
  <si>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</si>
  <si>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</si>
  <si>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</si>
  <si>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</si>
  <si>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</si>
  <si>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</si>
  <si>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</si>
  <si>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</si>
  <si>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</si>
  <si>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</si>
  <si>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</si>
  <si>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</si>
  <si>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</si>
  <si>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</si>
  <si>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</si>
  <si>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</si>
  <si>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</si>
  <si>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</si>
  <si>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</si>
  <si>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</si>
  <si>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</si>
  <si>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</si>
  <si>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</si>
  <si>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</si>
  <si>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</si>
  <si>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</si>
  <si>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</si>
  <si>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</si>
  <si>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</si>
  <si>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</si>
  <si>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</si>
  <si>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</si>
  <si>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</si>
  <si>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</si>
  <si>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</si>
  <si>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</si>
  <si>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</si>
  <si>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</si>
  <si>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</si>
  <si>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</si>
  <si>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</si>
  <si>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</si>
  <si>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</si>
  <si>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</si>
  <si>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</si>
  <si>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</si>
  <si>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</si>
  <si>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</si>
  <si>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</si>
  <si>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</si>
  <si>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</si>
  <si>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</si>
  <si>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</si>
  <si>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</si>
  <si>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</si>
  <si>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</si>
  <si>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</si>
  <si>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</si>
  <si>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</si>
  <si>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</si>
  <si>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</si>
  <si>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</si>
  <si>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</si>
  <si>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</si>
  <si>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</si>
  <si>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</si>
  <si>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</si>
  <si>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</si>
  <si>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</si>
  <si>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</si>
  <si>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</si>
  <si>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</si>
  <si>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</si>
  <si>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</si>
  <si>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</si>
  <si>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</si>
  <si>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</si>
  <si>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</si>
  <si>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</si>
  <si>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</si>
  <si>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</si>
  <si>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</si>
  <si>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</si>
  <si>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</si>
  <si>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</si>
  <si>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</si>
  <si>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</si>
  <si>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</si>
  <si>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</si>
  <si>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</si>
  <si>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</si>
  <si>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</si>
  <si>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</si>
  <si>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</si>
  <si>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</si>
  <si>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</si>
  <si>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</si>
  <si>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</si>
  <si>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</si>
  <si>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</si>
  <si>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</si>
  <si>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</si>
  <si>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</si>
  <si>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</si>
  <si>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</si>
  <si>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</si>
  <si>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</si>
  <si>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</si>
  <si>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</si>
  <si>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</si>
  <si>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</si>
  <si>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</si>
  <si>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</si>
  <si>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</si>
  <si>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</si>
  <si>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</si>
  <si>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</si>
  <si>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</si>
  <si>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</si>
  <si>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</si>
  <si>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</si>
  <si>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</si>
  <si>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</si>
  <si>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</si>
  <si>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</si>
  <si>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</si>
  <si>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</si>
  <si>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</si>
  <si>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</si>
  <si>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</si>
  <si>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</si>
  <si>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</si>
  <si>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</si>
  <si>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</si>
  <si>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</si>
  <si>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</si>
  <si>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</si>
  <si>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</si>
  <si>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</si>
  <si>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</si>
  <si>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</si>
  <si>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</si>
  <si>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</si>
  <si>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</si>
  <si>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</si>
  <si>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</si>
  <si>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</si>
  <si>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</si>
  <si>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</si>
  <si>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</si>
  <si>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</si>
  <si>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</si>
  <si>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</si>
  <si>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</si>
  <si>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</si>
  <si>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</si>
  <si>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</si>
  <si>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</si>
  <si>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</si>
  <si>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</si>
  <si>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</si>
  <si>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</si>
  <si>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</si>
  <si>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</si>
  <si>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</si>
  <si>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</si>
  <si>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</si>
  <si>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</si>
  <si>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</si>
  <si>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</si>
  <si>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</si>
  <si>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</si>
  <si>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</si>
  <si>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</si>
  <si>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</si>
  <si>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</si>
  <si>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</si>
  <si>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</si>
  <si>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</si>
  <si>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</si>
  <si>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</si>
  <si>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</si>
  <si>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</si>
  <si>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</si>
  <si>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</si>
  <si>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</si>
  <si>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</si>
  <si>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</si>
  <si>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</si>
  <si>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</si>
  <si>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</si>
  <si>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</si>
  <si>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</si>
  <si>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</si>
  <si>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</si>
  <si>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</si>
  <si>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</si>
  <si>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</si>
  <si>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</si>
  <si>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</si>
  <si>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</si>
  <si>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</si>
  <si>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</si>
  <si>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</si>
  <si>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</si>
  <si>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</si>
  <si>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</si>
  <si>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</si>
  <si>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</si>
  <si>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</si>
  <si>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</si>
  <si>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</si>
  <si>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</si>
  <si>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</si>
  <si>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</si>
  <si>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</si>
  <si>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</si>
  <si>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</si>
  <si>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</si>
  <si>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</si>
  <si>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</si>
  <si>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</si>
  <si>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</si>
  <si>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</si>
  <si>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</si>
  <si>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</si>
  <si>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</si>
  <si>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</si>
  <si>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</si>
  <si>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</si>
  <si>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</si>
  <si>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</si>
  <si>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</si>
  <si>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</si>
  <si>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</si>
  <si>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</si>
  <si>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</si>
  <si>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</si>
  <si>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</si>
  <si>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</si>
  <si>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</si>
  <si>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</si>
  <si>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</si>
  <si>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</si>
  <si>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</si>
  <si>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</si>
  <si>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</si>
  <si>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</si>
  <si>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</si>
  <si>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</si>
  <si>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</si>
  <si>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</si>
  <si>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</si>
  <si>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</si>
  <si>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</si>
  <si>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</si>
  <si>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</si>
  <si>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</si>
  <si>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</si>
  <si>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</si>
  <si>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</si>
  <si>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</si>
  <si>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</si>
  <si>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</si>
  <si>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</si>
  <si>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</si>
  <si>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</si>
  <si>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</si>
  <si>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</si>
  <si>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</si>
  <si>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</si>
  <si>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</si>
  <si>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</si>
  <si>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</si>
  <si>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</si>
  <si>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</si>
  <si>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</si>
  <si>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</si>
  <si>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</si>
  <si>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</si>
  <si>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</si>
  <si>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</si>
  <si>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</si>
  <si>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</si>
  <si>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</si>
  <si>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</si>
  <si>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</si>
  <si>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</si>
  <si>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</si>
  <si>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</si>
  <si>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</si>
  <si>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</si>
  <si>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</si>
  <si>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</si>
  <si>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</si>
  <si>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</si>
  <si>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</si>
  <si>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</si>
  <si>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</si>
  <si>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</si>
  <si>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</si>
  <si>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</si>
  <si>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</si>
  <si>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</si>
  <si>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</si>
  <si>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</si>
  <si>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</si>
  <si>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</si>
  <si>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</si>
  <si>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</si>
  <si>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</si>
  <si>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</si>
  <si>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</si>
  <si>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</si>
  <si>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</si>
  <si>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</si>
  <si>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</si>
  <si>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</si>
  <si>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</si>
  <si>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</si>
  <si>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</si>
  <si>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</si>
  <si>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</si>
  <si>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</si>
  <si>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</si>
  <si>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</si>
  <si>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</si>
  <si>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</si>
  <si>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</si>
  <si>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</si>
  <si>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</si>
  <si>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</si>
  <si>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</si>
  <si>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</si>
  <si>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</si>
  <si>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</si>
  <si>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</si>
  <si>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</si>
  <si>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</si>
  <si>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</si>
  <si>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</si>
  <si>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</si>
  <si>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</si>
  <si>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</si>
  <si>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</si>
  <si>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</si>
  <si>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</si>
  <si>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</si>
  <si>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</si>
  <si>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</si>
  <si>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</si>
  <si>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</si>
  <si>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</si>
  <si>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</si>
  <si>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</si>
  <si>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</si>
  <si>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</si>
  <si>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</si>
  <si>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</si>
  <si>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</si>
  <si>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</si>
  <si>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</si>
  <si>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</si>
  <si>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</si>
  <si>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</si>
  <si>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</si>
  <si>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</si>
  <si>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</si>
  <si>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</si>
  <si>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</si>
  <si>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</si>
  <si>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</si>
  <si>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</si>
  <si>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</si>
  <si>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</si>
  <si>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</si>
  <si>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</si>
  <si>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</si>
  <si>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</si>
  <si>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</si>
  <si>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</si>
  <si>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</si>
  <si>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</si>
  <si>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</si>
  <si>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</si>
  <si>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</si>
  <si>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</si>
  <si>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</si>
  <si>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</si>
  <si>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</si>
  <si>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</si>
  <si>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</si>
  <si>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</si>
  <si>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</si>
  <si>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</si>
  <si>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</si>
  <si>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</si>
  <si>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</si>
  <si>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</si>
  <si>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</si>
  <si>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</si>
  <si>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</si>
  <si>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</si>
  <si>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</si>
  <si>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</si>
  <si>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</si>
  <si>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</si>
  <si>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</si>
  <si>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</si>
  <si>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</si>
  <si>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</si>
  <si>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</si>
  <si>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</si>
  <si>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</si>
  <si>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</si>
  <si>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</si>
  <si>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</si>
  <si>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</si>
  <si>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</si>
  <si>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</si>
  <si>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</si>
  <si>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</si>
  <si>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</si>
  <si>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</si>
  <si>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</si>
  <si>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</si>
  <si>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</si>
  <si>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</si>
  <si>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</si>
  <si>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</si>
  <si>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</si>
  <si>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</si>
  <si>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</si>
  <si>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</si>
  <si>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</si>
  <si>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</si>
  <si>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</si>
  <si>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</si>
  <si>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</si>
  <si>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</si>
  <si>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</si>
  <si>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</si>
  <si>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</si>
  <si>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</si>
  <si>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</si>
  <si>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</si>
  <si>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</si>
  <si>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</si>
  <si>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</si>
  <si>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</si>
  <si>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</si>
  <si>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</si>
  <si>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</si>
  <si>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</si>
  <si>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</si>
  <si>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</si>
  <si>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</si>
  <si>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</si>
  <si>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</si>
  <si>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</si>
  <si>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</si>
  <si>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</si>
  <si>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</si>
  <si>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</si>
  <si>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</si>
  <si>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</si>
  <si>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</si>
  <si>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</si>
  <si>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</si>
  <si>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</si>
  <si>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</si>
  <si>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</si>
  <si>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</si>
  <si>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</si>
  <si>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</si>
  <si>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</si>
  <si>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</si>
  <si>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</si>
  <si>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</si>
  <si>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</si>
  <si>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</si>
  <si>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</si>
  <si>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</si>
  <si>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</si>
  <si>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</si>
  <si>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</si>
  <si>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</si>
  <si>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</si>
  <si>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</si>
  <si>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</si>
  <si>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</si>
  <si>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</si>
  <si>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</si>
  <si>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</si>
  <si>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</si>
  <si>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</si>
  <si>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</si>
  <si>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</si>
  <si>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</si>
  <si>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</si>
  <si>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</si>
  <si>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</si>
  <si>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</si>
  <si>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</si>
  <si>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</si>
  <si>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</si>
  <si>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</si>
  <si>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</si>
  <si>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</si>
  <si>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</si>
  <si>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</si>
  <si>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</si>
  <si>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</si>
  <si>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</si>
  <si>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</si>
  <si>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</si>
  <si>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</si>
  <si>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</si>
  <si>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</si>
  <si>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</si>
  <si>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</si>
  <si>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</si>
  <si>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</si>
  <si>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</si>
  <si>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</si>
  <si>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</si>
  <si>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</si>
  <si>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</si>
  <si>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</si>
  <si>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</si>
  <si>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</si>
  <si>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</si>
  <si>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</si>
  <si>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</si>
  <si>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</si>
  <si>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</si>
  <si>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</si>
  <si>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</si>
  <si>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</si>
  <si>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</si>
  <si>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</si>
  <si>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</si>
  <si>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</si>
  <si>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</si>
  <si>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</si>
  <si>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</si>
  <si>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</si>
  <si>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</si>
  <si>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</si>
  <si>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</si>
  <si>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</si>
  <si>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</si>
  <si>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</si>
  <si>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</si>
  <si>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</si>
  <si>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</si>
  <si>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</si>
  <si>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</si>
  <si>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</si>
  <si>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</si>
  <si>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</si>
  <si>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</si>
  <si>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</si>
  <si>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</si>
  <si>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</si>
  <si>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</si>
  <si>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</si>
  <si>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</si>
  <si>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</si>
  <si>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</si>
  <si>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</si>
  <si>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</si>
  <si>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</si>
  <si>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</si>
  <si>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</si>
  <si>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</si>
  <si>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</si>
  <si>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</si>
  <si>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</si>
  <si>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</si>
  <si>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</si>
  <si>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</si>
  <si>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</si>
  <si>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</si>
  <si>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</si>
  <si>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</si>
  <si>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</si>
  <si>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</si>
  <si>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</si>
  <si>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</si>
  <si>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</si>
  <si>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</si>
  <si>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</si>
  <si>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</si>
  <si>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</si>
  <si>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</si>
  <si>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</si>
  <si>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</si>
  <si>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</si>
  <si>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</si>
  <si>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</si>
  <si>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</si>
  <si>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</si>
  <si>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</si>
  <si>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</si>
  <si>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</si>
  <si>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</si>
  <si>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</si>
  <si>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</si>
  <si>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</si>
  <si>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</si>
  <si>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</si>
  <si>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</si>
  <si>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</si>
  <si>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</si>
  <si>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</si>
  <si>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</si>
  <si>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</si>
  <si>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</si>
  <si>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</si>
  <si>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</si>
  <si>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</si>
  <si>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</si>
  <si>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</si>
  <si>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</si>
  <si>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</si>
  <si>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</si>
  <si>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</si>
  <si>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</si>
  <si>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</si>
  <si>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</si>
  <si>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</si>
  <si>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</si>
  <si>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</si>
  <si>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</si>
  <si>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</si>
  <si>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</si>
  <si>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</si>
  <si>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</si>
  <si>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</si>
  <si>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</si>
  <si>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</si>
  <si>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</si>
  <si>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</si>
  <si>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</si>
  <si>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</si>
  <si>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</si>
  <si>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</si>
  <si>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</si>
  <si>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</si>
  <si>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</si>
  <si>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</si>
  <si>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</si>
  <si>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</si>
  <si>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</si>
  <si>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</si>
  <si>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</si>
  <si>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</si>
  <si>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</si>
  <si>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</si>
  <si>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</si>
  <si>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</si>
  <si>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</si>
  <si>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</si>
  <si>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</si>
  <si>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</si>
  <si>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</si>
  <si>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</si>
  <si>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</si>
  <si>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</si>
  <si>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</si>
  <si>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</si>
  <si>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</si>
  <si>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</si>
  <si>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</si>
  <si>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</si>
  <si>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</si>
  <si>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</si>
  <si>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</si>
  <si>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</si>
  <si>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</si>
  <si>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</si>
  <si>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</si>
  <si>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</si>
  <si>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</si>
  <si>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</si>
  <si>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</si>
  <si>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</si>
  <si>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</si>
  <si>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</si>
  <si>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</si>
  <si>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</si>
  <si>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</si>
  <si>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</si>
  <si>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</si>
  <si>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</si>
  <si>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</si>
  <si>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</si>
  <si>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</si>
  <si>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</si>
  <si>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</si>
  <si>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</si>
  <si>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</si>
  <si>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</si>
  <si>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</si>
  <si>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</si>
  <si>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</si>
  <si>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</si>
  <si>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</si>
  <si>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</si>
  <si>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</si>
  <si>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</si>
  <si>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</si>
  <si>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</si>
  <si>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</si>
  <si>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</si>
  <si>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</si>
  <si>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</si>
  <si>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</si>
  <si>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</si>
  <si>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</si>
  <si>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</si>
  <si>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</si>
  <si>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</si>
  <si>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</si>
  <si>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</si>
  <si>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</si>
  <si>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</si>
  <si>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</si>
  <si>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</si>
  <si>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</si>
  <si>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</si>
  <si>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</si>
  <si>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</si>
  <si>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</si>
  <si>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</si>
  <si>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</si>
  <si>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</si>
  <si>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</si>
  <si>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</si>
  <si>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</si>
  <si>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</si>
  <si>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</si>
  <si>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</si>
  <si>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</si>
  <si>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</si>
  <si>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</si>
  <si>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</si>
  <si>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</si>
  <si>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</si>
  <si>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</si>
  <si>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</si>
  <si>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</si>
  <si>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</si>
  <si>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</si>
  <si>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</si>
  <si>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</si>
  <si>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</si>
  <si>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</si>
  <si>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</si>
  <si>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</si>
  <si>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</si>
  <si>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</si>
  <si>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</si>
  <si>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</si>
  <si>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</si>
  <si>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</si>
  <si>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</si>
  <si>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</si>
  <si>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</si>
  <si>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</si>
  <si>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</si>
  <si>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</si>
  <si>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</si>
  <si>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</si>
  <si>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</si>
  <si>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</si>
  <si>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</si>
  <si>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</si>
  <si>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</si>
  <si>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</si>
  <si>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</si>
  <si>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</si>
  <si>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</si>
  <si>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</si>
  <si>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</si>
  <si>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</si>
  <si>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</si>
  <si>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</si>
  <si>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</si>
  <si>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</si>
  <si>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</si>
  <si>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</si>
  <si>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</si>
  <si>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</si>
  <si>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</si>
  <si>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</si>
  <si>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</si>
  <si>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</si>
  <si>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</si>
  <si>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</si>
  <si>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</si>
  <si>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</si>
  <si>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</si>
  <si>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</si>
  <si>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</si>
  <si>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</si>
  <si>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</si>
  <si>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</si>
  <si>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</si>
  <si>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</si>
  <si>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</si>
  <si>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</si>
  <si>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</si>
  <si>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</si>
  <si>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</si>
  <si>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</si>
  <si>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</si>
  <si>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</si>
  <si>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</si>
  <si>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</si>
  <si>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</si>
  <si>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</si>
  <si>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</si>
  <si>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</si>
  <si>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</si>
  <si>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</si>
  <si>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</si>
  <si>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</si>
  <si>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</si>
  <si>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</si>
  <si>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</si>
  <si>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</si>
  <si>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</si>
  <si>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</si>
  <si>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</si>
  <si>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</si>
  <si>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</si>
  <si>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</si>
  <si>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</si>
  <si>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</si>
  <si>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</si>
  <si>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</si>
  <si>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</si>
  <si>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</si>
  <si>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</si>
  <si>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</si>
  <si>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</si>
  <si>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</si>
  <si>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</si>
  <si>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</si>
  <si>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</si>
  <si>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</si>
  <si>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</si>
  <si>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</si>
  <si>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</si>
  <si>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</si>
  <si>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</si>
  <si>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</si>
  <si>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</si>
  <si>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</si>
  <si>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</si>
  <si>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</si>
  <si>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</si>
  <si>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</si>
  <si>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</si>
  <si>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</si>
  <si>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</si>
  <si>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</si>
  <si>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</si>
  <si>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</si>
  <si>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</si>
  <si>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</si>
  <si>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</si>
  <si>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</si>
  <si>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</si>
  <si>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</si>
  <si>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</si>
  <si>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</si>
  <si>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</si>
  <si>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</si>
  <si>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</si>
  <si>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</si>
  <si>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</si>
  <si>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</si>
  <si>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</si>
  <si>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</si>
  <si>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</si>
  <si>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</si>
  <si>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</si>
  <si>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</si>
  <si>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</si>
  <si>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</si>
  <si>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</si>
  <si>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</si>
  <si>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</si>
  <si>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</si>
  <si>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</si>
  <si>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</si>
  <si>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</si>
  <si>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</si>
  <si>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</si>
  <si>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</si>
  <si>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</si>
  <si>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</si>
  <si>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</si>
  <si>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</si>
  <si>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</si>
  <si>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</si>
  <si>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</si>
  <si>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</si>
  <si>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</si>
  <si>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</si>
  <si>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</si>
  <si>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</si>
  <si>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</si>
  <si>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</si>
  <si>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</si>
  <si>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</si>
  <si>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</si>
  <si>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</si>
  <si>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</si>
  <si>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</si>
  <si>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</si>
  <si>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</si>
  <si>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</si>
  <si>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</si>
  <si>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</si>
  <si>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</si>
  <si>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</si>
  <si>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</si>
  <si>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</si>
  <si>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</si>
  <si>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</si>
  <si>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</si>
  <si>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</si>
  <si>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</si>
  <si>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</si>
  <si>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</si>
  <si>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</si>
  <si>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</si>
  <si>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</si>
  <si>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</si>
  <si>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</si>
  <si>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</si>
  <si>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</si>
  <si>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</si>
  <si>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</si>
  <si>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</si>
  <si>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</si>
  <si>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</si>
  <si>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</si>
  <si>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</si>
  <si>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</si>
  <si>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</si>
  <si>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</si>
  <si>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</si>
  <si>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</si>
  <si>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</si>
  <si>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</si>
  <si>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</si>
  <si>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</si>
  <si>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</si>
  <si>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</si>
  <si>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</si>
  <si>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</si>
  <si>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</si>
  <si>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</si>
  <si>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</si>
  <si>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</si>
  <si>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</si>
  <si>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</si>
  <si>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</si>
  <si>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</si>
  <si>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</si>
  <si>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</si>
  <si>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</si>
  <si>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</si>
  <si>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</si>
  <si>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</si>
  <si>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</si>
  <si>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</si>
  <si>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</si>
  <si>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</si>
  <si>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</si>
  <si>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</si>
  <si>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</si>
  <si>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</si>
  <si>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</si>
  <si>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</si>
  <si>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</si>
  <si>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</si>
  <si>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</si>
  <si>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</si>
  <si>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</si>
  <si>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</si>
  <si>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</si>
  <si>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</si>
  <si>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</si>
  <si>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</si>
  <si>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</si>
  <si>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</si>
  <si>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</si>
  <si>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</si>
  <si>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</si>
  <si>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</si>
  <si>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</si>
  <si>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</si>
  <si>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</si>
  <si>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</si>
  <si>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</si>
  <si>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</si>
  <si>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</si>
  <si>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</si>
  <si>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</si>
  <si>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</si>
  <si>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</si>
  <si>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</si>
  <si>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</si>
  <si>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</si>
  <si>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</si>
  <si>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</si>
  <si>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</si>
  <si>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</si>
  <si>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</si>
  <si>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</si>
  <si>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</si>
  <si>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</si>
  <si>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</si>
  <si>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</si>
  <si>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</si>
  <si>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</si>
  <si>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</si>
  <si>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</si>
  <si>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</si>
  <si>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</si>
  <si>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</si>
  <si>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</si>
  <si>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</si>
  <si>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</si>
  <si>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</si>
  <si>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</si>
  <si>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</si>
  <si>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</si>
  <si>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</si>
  <si>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</si>
  <si>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</si>
  <si>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</si>
  <si>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</si>
  <si>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</si>
  <si>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</si>
  <si>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</si>
  <si>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</si>
  <si>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</si>
  <si>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</si>
  <si>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</si>
  <si>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</si>
  <si>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</si>
  <si>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</si>
  <si>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</si>
  <si>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</si>
  <si>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</si>
  <si>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</si>
  <si>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</si>
  <si>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</si>
  <si>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</si>
  <si>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</si>
  <si>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</si>
  <si>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</si>
  <si>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</si>
  <si>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</si>
  <si>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</si>
  <si>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</si>
  <si>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</si>
  <si>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</si>
  <si>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</si>
  <si>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</si>
  <si>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</si>
  <si>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</si>
  <si>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</si>
  <si>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</si>
  <si>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</si>
  <si>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</si>
  <si>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</si>
  <si>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</si>
  <si>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</si>
  <si>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</si>
  <si>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</si>
  <si>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</si>
  <si>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</si>
  <si>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</si>
  <si>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</si>
  <si>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</si>
  <si>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</si>
  <si>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</si>
  <si>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</si>
  <si>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</si>
  <si>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</si>
  <si>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</si>
  <si>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</si>
  <si>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</si>
  <si>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</si>
  <si>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</si>
  <si>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</si>
  <si>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</si>
  <si>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</si>
  <si>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</si>
  <si>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</si>
  <si>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</si>
  <si>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</si>
  <si>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</si>
  <si>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</si>
  <si>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</si>
  <si>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</si>
  <si>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</si>
  <si>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</si>
  <si>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</si>
  <si>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</si>
  <si>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</si>
  <si>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</si>
  <si>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</si>
  <si>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</si>
  <si>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</si>
  <si>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</si>
  <si>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</si>
  <si>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</si>
  <si>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</si>
  <si>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</si>
  <si>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</si>
  <si>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</si>
  <si>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</si>
  <si>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</si>
  <si>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</si>
  <si>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</si>
  <si>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</si>
  <si>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</si>
  <si>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</si>
  <si>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</si>
  <si>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</si>
  <si>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</si>
  <si>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</si>
  <si>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</si>
  <si>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</si>
  <si>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</si>
  <si>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</si>
  <si>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</si>
  <si>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</si>
  <si>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</si>
  <si>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</si>
  <si>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</si>
  <si>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</si>
  <si>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</si>
  <si>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</si>
  <si>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</si>
  <si>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</si>
  <si>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</si>
  <si>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</si>
  <si>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</si>
  <si>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</si>
  <si>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</si>
  <si>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</si>
  <si>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</si>
  <si>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</si>
  <si>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</si>
  <si>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</si>
  <si>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</si>
  <si>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</si>
  <si>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</si>
  <si>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</si>
  <si>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</si>
  <si>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</si>
  <si>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</si>
  <si>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</si>
  <si>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</si>
  <si>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</si>
  <si>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</si>
  <si>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</si>
  <si>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</si>
  <si>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</si>
  <si>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</si>
  <si>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</si>
  <si>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</si>
  <si>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</si>
  <si>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</si>
  <si>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</si>
  <si>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</si>
  <si>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</si>
  <si>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</si>
  <si>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</si>
  <si>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</si>
  <si>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</si>
  <si>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</si>
  <si>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</si>
  <si>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</si>
  <si>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</si>
  <si>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</si>
  <si>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</si>
  <si>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</si>
  <si>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</si>
  <si>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</si>
  <si>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</si>
  <si>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</si>
  <si>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</si>
  <si>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</si>
  <si>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</si>
  <si>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</si>
  <si>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</si>
  <si>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</si>
  <si>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</si>
  <si>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</si>
  <si>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</si>
  <si>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</si>
  <si>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</si>
  <si>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</si>
  <si>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</si>
  <si>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</si>
  <si>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</si>
  <si>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</si>
  <si>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</si>
  <si>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</si>
  <si>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</si>
  <si>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</si>
  <si>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</si>
  <si>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</si>
  <si>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</si>
  <si>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</si>
  <si>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</si>
  <si>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</si>
  <si>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</si>
  <si>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</si>
  <si>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</si>
  <si>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</si>
  <si>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</si>
  <si>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</si>
  <si>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</si>
  <si>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</si>
  <si>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</si>
  <si>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</si>
  <si>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</si>
  <si>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</si>
  <si>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</si>
  <si>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</si>
  <si>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</si>
  <si>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</si>
  <si>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</si>
  <si>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</si>
  <si>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</si>
  <si>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</si>
  <si>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</si>
  <si>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</si>
  <si>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</si>
  <si>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</si>
  <si>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</si>
  <si>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</si>
  <si>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</si>
  <si>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</si>
  <si>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</si>
  <si>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</si>
  <si>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</si>
  <si>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</si>
  <si>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</si>
  <si>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</si>
  <si>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</si>
  <si>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</si>
  <si>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</si>
  <si>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</si>
  <si>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</si>
  <si>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</si>
  <si>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</si>
  <si>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</si>
  <si>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</si>
  <si>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</si>
  <si>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</si>
  <si>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</si>
  <si>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</si>
  <si>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</si>
  <si>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</si>
  <si>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</si>
  <si>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</si>
  <si>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</si>
  <si>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</si>
  <si>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</si>
  <si>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</si>
  <si>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</si>
  <si>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</si>
  <si>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</si>
  <si>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</si>
  <si>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</si>
  <si>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</si>
  <si>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</si>
  <si>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</si>
  <si>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</si>
  <si>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</si>
  <si>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</si>
  <si>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</si>
  <si>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</si>
  <si>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</si>
  <si>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</si>
  <si>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</si>
  <si>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</si>
  <si>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</si>
  <si>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</si>
  <si>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</si>
  <si>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</si>
  <si>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</si>
  <si>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</si>
  <si>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</si>
  <si>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</si>
  <si>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</si>
  <si>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</si>
  <si>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</si>
  <si>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</si>
  <si>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</si>
  <si>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</si>
  <si>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</si>
  <si>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</si>
  <si>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</si>
  <si>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</si>
  <si>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</si>
  <si>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</si>
  <si>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</si>
  <si>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</si>
  <si>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</si>
  <si>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</si>
  <si>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</si>
  <si>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</si>
  <si>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</si>
  <si>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</si>
  <si>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</si>
  <si>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</si>
  <si>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</si>
  <si>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</si>
  <si>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</si>
  <si>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</si>
  <si>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</si>
  <si>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</si>
  <si>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</si>
  <si>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</si>
  <si>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</si>
  <si>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</si>
  <si>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</si>
  <si>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</si>
  <si>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</si>
  <si>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</si>
  <si>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</si>
  <si>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</si>
  <si>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</si>
  <si>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</si>
  <si>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</si>
  <si>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</si>
  <si>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</si>
  <si>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</si>
  <si>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</si>
  <si>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</si>
  <si>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</si>
  <si>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</si>
  <si>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</si>
  <si>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</si>
  <si>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</si>
  <si>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</si>
  <si>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</si>
  <si>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</si>
  <si>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</si>
  <si>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</si>
  <si>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</si>
  <si>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</si>
  <si>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</si>
  <si>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</si>
  <si>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</si>
  <si>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</si>
  <si>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</si>
  <si>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</si>
  <si>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</si>
  <si>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</si>
  <si>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</si>
  <si>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</si>
  <si>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</si>
  <si>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</si>
  <si>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</si>
  <si>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</si>
  <si>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</si>
  <si>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</si>
  <si>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</si>
  <si>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</si>
  <si>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</si>
  <si>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</si>
  <si>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</si>
  <si>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</si>
  <si>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</si>
  <si>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</si>
  <si>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</si>
  <si>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</si>
  <si>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</si>
  <si>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</si>
  <si>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</si>
  <si>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</si>
  <si>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</si>
  <si>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</si>
  <si>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</si>
  <si>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</si>
  <si>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</si>
  <si>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</si>
  <si>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</si>
  <si>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</si>
  <si>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</si>
  <si>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</si>
  <si>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</si>
  <si>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</si>
  <si>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</si>
  <si>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</si>
  <si>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</si>
  <si>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</si>
  <si>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</si>
  <si>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</si>
  <si>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</si>
  <si>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</si>
  <si>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</si>
  <si>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</si>
  <si>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</si>
  <si>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</si>
  <si>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</si>
  <si>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</si>
  <si>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</si>
  <si>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</si>
  <si>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</si>
  <si>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</si>
  <si>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</si>
  <si>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</si>
  <si>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</si>
  <si>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</si>
  <si>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</si>
  <si>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</si>
  <si>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</si>
  <si>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</si>
  <si>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</si>
  <si>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</si>
  <si>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</si>
  <si>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</si>
  <si>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</si>
  <si>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</si>
  <si>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</si>
  <si>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</si>
  <si>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</si>
  <si>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</si>
  <si>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</si>
  <si>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</si>
  <si>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</si>
  <si>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</si>
  <si>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</si>
  <si>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</si>
  <si>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</si>
  <si>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</si>
  <si>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</si>
  <si>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</si>
  <si>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</si>
  <si>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</si>
  <si>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</si>
  <si>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</si>
  <si>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</si>
  <si>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</si>
  <si>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</si>
  <si>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</si>
  <si>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</si>
  <si>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</si>
  <si>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</si>
  <si>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</si>
  <si>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</si>
  <si>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</si>
  <si>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</si>
  <si>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</si>
  <si>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</si>
  <si>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</si>
  <si>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</si>
  <si>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</si>
  <si>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</si>
  <si>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</si>
  <si>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</si>
  <si>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</si>
  <si>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</si>
  <si>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</si>
  <si>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</si>
  <si>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</si>
  <si>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</si>
  <si>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</si>
  <si>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</si>
  <si>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</si>
  <si>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</si>
  <si>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</si>
  <si>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</si>
  <si>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</si>
  <si>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</si>
  <si>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</si>
  <si>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</si>
  <si>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</si>
  <si>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</si>
  <si>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</si>
  <si>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</si>
  <si>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</si>
  <si>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</si>
  <si>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</si>
  <si>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</si>
  <si>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</si>
  <si>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</si>
  <si>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</si>
  <si>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</si>
  <si>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</si>
  <si>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</si>
  <si>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</si>
  <si>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</si>
  <si>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</si>
  <si>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</si>
  <si>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</si>
  <si>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</si>
  <si>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</si>
  <si>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</si>
  <si>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</si>
  <si>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</si>
  <si>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</si>
  <si>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</si>
  <si>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</si>
  <si>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</si>
  <si>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</si>
  <si>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</si>
  <si>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</si>
  <si>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</si>
  <si>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</si>
  <si>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</si>
  <si>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</si>
  <si>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</si>
  <si>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</si>
  <si>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</si>
  <si>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</si>
  <si>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</si>
  <si>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</si>
  <si>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</si>
  <si>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</si>
  <si>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</si>
  <si>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</si>
  <si>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</si>
  <si>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</si>
  <si>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</si>
  <si>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</si>
  <si>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</si>
  <si>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</si>
  <si>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</si>
  <si>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</si>
  <si>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</si>
  <si>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</si>
  <si>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</si>
  <si>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</si>
  <si>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</si>
  <si>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</si>
  <si>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</si>
  <si>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</si>
  <si>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</si>
  <si>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</si>
  <si>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</si>
  <si>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</si>
  <si>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</si>
  <si>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</si>
  <si>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</si>
  <si>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</si>
  <si>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</si>
  <si>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</si>
  <si>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</si>
  <si>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</si>
  <si>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</si>
  <si>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</si>
  <si>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</si>
  <si>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</si>
  <si>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</si>
  <si>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</si>
  <si>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</si>
  <si>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</si>
  <si>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</si>
  <si>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</si>
  <si>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</si>
  <si>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</si>
  <si>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</si>
  <si>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</si>
  <si>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</si>
  <si>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</si>
  <si>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</si>
  <si>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</si>
  <si>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</si>
  <si>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</si>
  <si>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</si>
  <si>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</si>
  <si>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</si>
  <si>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</si>
  <si>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</si>
  <si>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</si>
  <si>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</si>
  <si>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</si>
  <si>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</si>
  <si>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</si>
  <si>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</si>
  <si>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</si>
  <si>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</si>
  <si>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</si>
  <si>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</si>
  <si>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</si>
  <si>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</si>
  <si>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</si>
  <si>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</si>
  <si>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</si>
  <si>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</si>
  <si>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</si>
  <si>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</si>
  <si>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</si>
  <si>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</si>
  <si>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</si>
  <si>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</si>
  <si>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</si>
  <si>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</si>
  <si>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</si>
  <si>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</si>
  <si>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</si>
  <si>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</si>
  <si>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</si>
  <si>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</si>
  <si>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</si>
  <si>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</si>
  <si>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</si>
  <si>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</si>
  <si>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</si>
  <si>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</si>
  <si>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</si>
  <si>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</si>
  <si>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</si>
  <si>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</si>
  <si>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</si>
  <si>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</si>
  <si>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</si>
  <si>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</si>
  <si>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</si>
  <si>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</si>
  <si>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</si>
  <si>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</si>
  <si>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</si>
  <si>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</si>
  <si>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</si>
  <si>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</si>
  <si>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</si>
  <si>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</si>
  <si>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</si>
  <si>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</si>
  <si>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</si>
  <si>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</si>
  <si>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</si>
  <si>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</si>
  <si>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</si>
  <si>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</si>
  <si>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</si>
  <si>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</si>
  <si>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</si>
  <si>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</si>
  <si>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</si>
  <si>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</si>
  <si>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</si>
  <si>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</si>
  <si>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</si>
  <si>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</si>
  <si>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</si>
  <si>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</si>
  <si>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</si>
  <si>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</si>
  <si>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</si>
  <si>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</si>
  <si>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</si>
  <si>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</si>
  <si>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</si>
  <si>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</si>
  <si>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</si>
  <si>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</si>
  <si>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</si>
  <si>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</si>
  <si>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</si>
  <si>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</si>
  <si>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</si>
  <si>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</si>
  <si>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</si>
  <si>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</si>
  <si>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</si>
  <si>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</si>
  <si>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</si>
  <si>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</si>
  <si>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</si>
  <si>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</si>
  <si>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</si>
  <si>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</si>
  <si>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</si>
  <si>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</si>
  <si>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</si>
  <si>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</si>
  <si>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</si>
  <si>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</si>
  <si>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</si>
  <si>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</si>
  <si>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</si>
  <si>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</si>
  <si>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</si>
  <si>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</si>
  <si>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</si>
  <si>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</si>
  <si>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</si>
  <si>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</si>
  <si>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</si>
  <si>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</si>
  <si>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</si>
  <si>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</si>
  <si>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</si>
  <si>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</si>
  <si>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</si>
  <si>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</si>
  <si>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</si>
  <si>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</si>
  <si>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</si>
  <si>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</si>
  <si>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</si>
  <si>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</si>
  <si>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</si>
  <si>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</si>
  <si>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</si>
  <si>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</si>
  <si>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</si>
  <si>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</si>
  <si>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</si>
  <si>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</si>
  <si>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</si>
  <si>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</si>
  <si>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</si>
  <si>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</si>
  <si>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</si>
  <si>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</si>
  <si>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</si>
  <si>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</si>
  <si>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</si>
  <si>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</si>
  <si>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</si>
  <si>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</si>
  <si>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</si>
  <si>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</si>
  <si>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</si>
  <si>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</si>
  <si>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</si>
  <si>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</si>
  <si>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</si>
  <si>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</si>
  <si>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</si>
  <si>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</si>
  <si>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</si>
  <si>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</si>
  <si>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</si>
  <si>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</si>
  <si>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</si>
  <si>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</si>
  <si>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</si>
  <si>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</si>
  <si>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</si>
  <si>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</si>
  <si>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</si>
  <si>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</si>
  <si>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</si>
  <si>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</si>
  <si>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</si>
  <si>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</si>
  <si>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</si>
  <si>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</si>
  <si>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</si>
  <si>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</si>
  <si>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</si>
  <si>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</si>
  <si>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</si>
  <si>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</si>
  <si>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</si>
  <si>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</si>
  <si>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</si>
  <si>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</si>
  <si>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</si>
  <si>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</si>
  <si>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</si>
  <si>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Column Labels</t>
  </si>
  <si>
    <t>Grand Total</t>
  </si>
  <si>
    <t>Count of TX ID</t>
  </si>
  <si>
    <t>Sum of Amount</t>
  </si>
  <si>
    <t>Sum of Quantity</t>
  </si>
  <si>
    <t>Count of Order Date</t>
  </si>
  <si>
    <t>Average of Rating C</t>
  </si>
  <si>
    <t>Average of Days to Deliver</t>
  </si>
  <si>
    <t>Row Labels</t>
  </si>
  <si>
    <t>Female</t>
  </si>
  <si>
    <t>Male</t>
  </si>
  <si>
    <t>Other</t>
  </si>
  <si>
    <t>Unknown</t>
  </si>
  <si>
    <t>Count of Customer Gender</t>
  </si>
  <si>
    <t>6-10</t>
  </si>
  <si>
    <t>11-30</t>
  </si>
  <si>
    <t>31-87</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</si>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</sst>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0.0"/>
    <numFmt numFmtId="166" formatCode="\$#,###"/>
    <numFmt numFmtId="167"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164" fontId="0" fillId="0" borderId="0" xfId="0" applyNumberFormat="1"/>
    <xf numFmtId="165" fontId="0" fillId="0" borderId="0" xfId="0" applyNumberFormat="1"/>
    <xf numFmtId="0" fontId="1" fillId="0" borderId="0" xfId="0" applyFont="1"/>
    <xf numFmtId="0" fontId="1" fillId="0" borderId="1" xfId="0" applyFont="1"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horizontal="left"/>
    </xf>
    <xf numFmtId="1" fontId="0" fillId="0" borderId="0" xfId="0" applyNumberFormat="1"/>
    <xf numFmtId="10" fontId="0" fillId="0" borderId="0" xfId="0" applyNumberFormat="1"/>
    <xf numFmtId="167" fontId="0" fillId="0" borderId="0" xfId="0" applyNumberFormat="1"/>
    <xf numFmtId="166"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169" formatCode="d\-mmm\-yy"/>
    </dxf>
    <dxf>
      <numFmt numFmtId="169" formatCode="d\-mmm\-yy"/>
    </dxf>
    <dxf>
      <numFmt numFmtId="166" formatCode="\$#,###"/>
    </dxf>
    <dxf>
      <numFmt numFmtId="165" formatCode="0.0"/>
    </dxf>
    <dxf>
      <numFmt numFmtId="165" formatCode="0.0"/>
    </dxf>
    <dxf>
      <numFmt numFmtId="164" formatCode="#,###"/>
    </dxf>
    <dxf>
      <numFmt numFmtId="164" formatCode="#,###"/>
    </dxf>
    <dxf>
      <numFmt numFmtId="1" formatCode="0"/>
    </dxf>
    <dxf>
      <numFmt numFmtId="14" formatCode="0.00%"/>
    </dxf>
    <dxf>
      <numFmt numFmtId="168" formatCode="0.0000000"/>
    </dxf>
    <dxf>
      <numFmt numFmtId="164" formatCode="#,###"/>
    </dxf>
    <dxf>
      <numFmt numFmtId="164" formatCode="#,###"/>
    </dxf>
    <dxf>
      <numFmt numFmtId="164" formatCode="#,###"/>
    </dxf>
    <dxf>
      <numFmt numFmtId="165" formatCode="0.0"/>
    </dxf>
    <dxf>
      <numFmt numFmtId="165" formatCode="0.0"/>
    </dxf>
    <dxf>
      <numFmt numFmtId="164" formatCode="#,###"/>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Sum of Amount</c:v>
                </c:pt>
              </c:strCache>
            </c:strRef>
          </c:tx>
          <c:spPr>
            <a:ln w="28575" cap="rnd">
              <a:solidFill>
                <a:schemeClr val="accent1"/>
              </a:solidFill>
              <a:round/>
            </a:ln>
            <a:effectLst/>
          </c:spPr>
          <c:marker>
            <c:symbol val="none"/>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Sheet1!$B$8:$B$21</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6FE0-4A86-B2A5-ED5A231F1272}"/>
            </c:ext>
          </c:extLst>
        </c:ser>
        <c:ser>
          <c:idx val="1"/>
          <c:order val="1"/>
          <c:tx>
            <c:strRef>
              <c:f>Sheet1!$C$7</c:f>
              <c:strCache>
                <c:ptCount val="1"/>
                <c:pt idx="0">
                  <c:v>Sum of Quantity</c:v>
                </c:pt>
              </c:strCache>
            </c:strRef>
          </c:tx>
          <c:spPr>
            <a:ln w="28575" cap="rnd">
              <a:solidFill>
                <a:schemeClr val="accent2"/>
              </a:solidFill>
              <a:round/>
            </a:ln>
            <a:effectLst/>
          </c:spPr>
          <c:marker>
            <c:symbol val="none"/>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Sheet1!$C$8:$C$21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2-6FE0-4A86-B2A5-ED5A231F1272}"/>
            </c:ext>
          </c:extLst>
        </c:ser>
        <c:dLbls>
          <c:showLegendKey val="0"/>
          <c:showVal val="0"/>
          <c:showCatName val="0"/>
          <c:showSerName val="0"/>
          <c:showPercent val="0"/>
          <c:showBubbleSize val="0"/>
        </c:dLbls>
        <c:smooth val="0"/>
        <c:axId val="31394656"/>
        <c:axId val="31392256"/>
      </c:lineChart>
      <c:catAx>
        <c:axId val="313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2256"/>
        <c:crosses val="autoZero"/>
        <c:auto val="1"/>
        <c:lblAlgn val="ctr"/>
        <c:lblOffset val="100"/>
        <c:noMultiLvlLbl val="0"/>
      </c:catAx>
      <c:valAx>
        <c:axId val="3139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1</c:v>
                </c:pt>
                <c:pt idx="1">
                  <c:v>2</c:v>
                </c:pt>
                <c:pt idx="2">
                  <c:v>3</c:v>
                </c:pt>
                <c:pt idx="3">
                  <c:v>4</c:v>
                </c:pt>
                <c:pt idx="4">
                  <c:v>5</c:v>
                </c:pt>
                <c:pt idx="5">
                  <c:v>6-10</c:v>
                </c:pt>
                <c:pt idx="6">
                  <c:v>11-30</c:v>
                </c:pt>
                <c:pt idx="7">
                  <c:v>31-87</c:v>
                </c:pt>
              </c:strCache>
            </c:strRef>
          </c:cat>
          <c:val>
            <c:numRef>
              <c:f>Sheet3!$B$4:$B$12</c:f>
              <c:numCache>
                <c:formatCode>General</c:formatCode>
                <c:ptCount val="8"/>
                <c:pt idx="0">
                  <c:v>397</c:v>
                </c:pt>
                <c:pt idx="1">
                  <c:v>540</c:v>
                </c:pt>
                <c:pt idx="2">
                  <c:v>375</c:v>
                </c:pt>
                <c:pt idx="3">
                  <c:v>246</c:v>
                </c:pt>
                <c:pt idx="4">
                  <c:v>195</c:v>
                </c:pt>
                <c:pt idx="5">
                  <c:v>414</c:v>
                </c:pt>
                <c:pt idx="6">
                  <c:v>212</c:v>
                </c:pt>
                <c:pt idx="7">
                  <c:v>21</c:v>
                </c:pt>
              </c:numCache>
            </c:numRef>
          </c:val>
          <c:extLst>
            <c:ext xmlns:c16="http://schemas.microsoft.com/office/drawing/2014/chart" uri="{C3380CC4-5D6E-409C-BE32-E72D297353CC}">
              <c16:uniqueId val="{00000000-E5EF-461A-B26F-0CEB6F0B4D99}"/>
            </c:ext>
          </c:extLst>
        </c:ser>
        <c:dLbls>
          <c:showLegendKey val="0"/>
          <c:showVal val="0"/>
          <c:showCatName val="0"/>
          <c:showSerName val="0"/>
          <c:showPercent val="0"/>
          <c:showBubbleSize val="0"/>
        </c:dLbls>
        <c:gapWidth val="219"/>
        <c:overlap val="-27"/>
        <c:axId val="60360528"/>
        <c:axId val="60359088"/>
      </c:barChart>
      <c:catAx>
        <c:axId val="6036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59088"/>
        <c:crosses val="autoZero"/>
        <c:auto val="1"/>
        <c:lblAlgn val="ctr"/>
        <c:lblOffset val="100"/>
        <c:noMultiLvlLbl val="0"/>
      </c:catAx>
      <c:valAx>
        <c:axId val="6035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O</c:v>
                </c:pt>
              </c:strCache>
            </c:strRef>
          </c:tx>
          <c:spPr>
            <a:solidFill>
              <a:schemeClr val="accent1"/>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Sheet4!$B$5:$B$25</c:f>
              <c:numCache>
                <c:formatCode>0</c:formatCode>
                <c:ptCount val="20"/>
                <c:pt idx="0">
                  <c:v>3173</c:v>
                </c:pt>
                <c:pt idx="1">
                  <c:v>1788.7</c:v>
                </c:pt>
                <c:pt idx="2">
                  <c:v>1304.5999999999999</c:v>
                </c:pt>
                <c:pt idx="3">
                  <c:v>2266.7999999999997</c:v>
                </c:pt>
                <c:pt idx="4">
                  <c:v>894</c:v>
                </c:pt>
                <c:pt idx="5">
                  <c:v>656.7</c:v>
                </c:pt>
                <c:pt idx="6">
                  <c:v>558.1</c:v>
                </c:pt>
                <c:pt idx="7">
                  <c:v>216.79999999999998</c:v>
                </c:pt>
                <c:pt idx="8">
                  <c:v>606.79999999999995</c:v>
                </c:pt>
                <c:pt idx="9">
                  <c:v>1415.4</c:v>
                </c:pt>
                <c:pt idx="10">
                  <c:v>537.70000000000005</c:v>
                </c:pt>
                <c:pt idx="11">
                  <c:v>1310.3</c:v>
                </c:pt>
                <c:pt idx="12">
                  <c:v>222.8</c:v>
                </c:pt>
                <c:pt idx="14">
                  <c:v>670.80000000000007</c:v>
                </c:pt>
                <c:pt idx="15">
                  <c:v>295.79999999999995</c:v>
                </c:pt>
                <c:pt idx="16">
                  <c:v>109.80000000000001</c:v>
                </c:pt>
                <c:pt idx="17">
                  <c:v>90.4</c:v>
                </c:pt>
                <c:pt idx="18">
                  <c:v>828.8</c:v>
                </c:pt>
                <c:pt idx="19">
                  <c:v>86.8</c:v>
                </c:pt>
              </c:numCache>
            </c:numRef>
          </c:val>
          <c:extLst>
            <c:ext xmlns:c16="http://schemas.microsoft.com/office/drawing/2014/chart" uri="{C3380CC4-5D6E-409C-BE32-E72D297353CC}">
              <c16:uniqueId val="{00000000-6D73-41AB-88BA-57B3A64941FA}"/>
            </c:ext>
          </c:extLst>
        </c:ser>
        <c:ser>
          <c:idx val="1"/>
          <c:order val="1"/>
          <c:tx>
            <c:strRef>
              <c:f>Sheet4!$C$3:$C$4</c:f>
              <c:strCache>
                <c:ptCount val="1"/>
                <c:pt idx="0">
                  <c:v>M</c:v>
                </c:pt>
              </c:strCache>
            </c:strRef>
          </c:tx>
          <c:spPr>
            <a:solidFill>
              <a:schemeClr val="accent2"/>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Sheet4!$C$5:$C$25</c:f>
              <c:numCache>
                <c:formatCode>0</c:formatCode>
                <c:ptCount val="20"/>
                <c:pt idx="0">
                  <c:v>42922.100000000006</c:v>
                </c:pt>
                <c:pt idx="1">
                  <c:v>42448.80000000001</c:v>
                </c:pt>
                <c:pt idx="2">
                  <c:v>18378.100000000006</c:v>
                </c:pt>
                <c:pt idx="3">
                  <c:v>20907.899999999998</c:v>
                </c:pt>
                <c:pt idx="4">
                  <c:v>17923.5</c:v>
                </c:pt>
                <c:pt idx="5">
                  <c:v>8644.8999999999978</c:v>
                </c:pt>
                <c:pt idx="6">
                  <c:v>13831.999999999996</c:v>
                </c:pt>
                <c:pt idx="7">
                  <c:v>11586.300000000001</c:v>
                </c:pt>
                <c:pt idx="8">
                  <c:v>8705.9</c:v>
                </c:pt>
                <c:pt idx="9">
                  <c:v>6208.1</c:v>
                </c:pt>
                <c:pt idx="10">
                  <c:v>6977.3</c:v>
                </c:pt>
                <c:pt idx="11">
                  <c:v>11228.900000000001</c:v>
                </c:pt>
                <c:pt idx="12">
                  <c:v>6150.8</c:v>
                </c:pt>
                <c:pt idx="13">
                  <c:v>6373.0999999999995</c:v>
                </c:pt>
                <c:pt idx="14">
                  <c:v>4991</c:v>
                </c:pt>
                <c:pt idx="15">
                  <c:v>3362.3000000000006</c:v>
                </c:pt>
                <c:pt idx="16">
                  <c:v>3198.4</c:v>
                </c:pt>
                <c:pt idx="17">
                  <c:v>3242.2</c:v>
                </c:pt>
                <c:pt idx="18">
                  <c:v>2420.7000000000003</c:v>
                </c:pt>
                <c:pt idx="19">
                  <c:v>1393.4</c:v>
                </c:pt>
              </c:numCache>
            </c:numRef>
          </c:val>
          <c:extLst>
            <c:ext xmlns:c16="http://schemas.microsoft.com/office/drawing/2014/chart" uri="{C3380CC4-5D6E-409C-BE32-E72D297353CC}">
              <c16:uniqueId val="{00000007-7300-4328-941F-9A1088AED1E1}"/>
            </c:ext>
          </c:extLst>
        </c:ser>
        <c:ser>
          <c:idx val="2"/>
          <c:order val="2"/>
          <c:tx>
            <c:strRef>
              <c:f>Sheet4!$D$3:$D$4</c:f>
              <c:strCache>
                <c:ptCount val="1"/>
                <c:pt idx="0">
                  <c:v>F</c:v>
                </c:pt>
              </c:strCache>
            </c:strRef>
          </c:tx>
          <c:spPr>
            <a:solidFill>
              <a:schemeClr val="accent3"/>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Sheet4!$D$5:$D$25</c:f>
              <c:numCache>
                <c:formatCode>0</c:formatCode>
                <c:ptCount val="20"/>
                <c:pt idx="0">
                  <c:v>65526.899999999987</c:v>
                </c:pt>
                <c:pt idx="1">
                  <c:v>51517.69999999999</c:v>
                </c:pt>
                <c:pt idx="2">
                  <c:v>36637.9</c:v>
                </c:pt>
                <c:pt idx="3">
                  <c:v>23579</c:v>
                </c:pt>
                <c:pt idx="4">
                  <c:v>15958.099999999999</c:v>
                </c:pt>
                <c:pt idx="5">
                  <c:v>20737.599999999999</c:v>
                </c:pt>
                <c:pt idx="6">
                  <c:v>16244.9</c:v>
                </c:pt>
                <c:pt idx="7">
                  <c:v>18259.300000000003</c:v>
                </c:pt>
                <c:pt idx="8">
                  <c:v>14225.499999999996</c:v>
                </c:pt>
                <c:pt idx="9">
                  <c:v>15491.400000000005</c:v>
                </c:pt>
                <c:pt idx="10">
                  <c:v>15089.999999999995</c:v>
                </c:pt>
                <c:pt idx="11">
                  <c:v>7255.300000000002</c:v>
                </c:pt>
                <c:pt idx="12">
                  <c:v>8267.2000000000007</c:v>
                </c:pt>
                <c:pt idx="13">
                  <c:v>9612.6999999999953</c:v>
                </c:pt>
                <c:pt idx="14">
                  <c:v>4965.8</c:v>
                </c:pt>
                <c:pt idx="15">
                  <c:v>7367.1</c:v>
                </c:pt>
                <c:pt idx="16">
                  <c:v>5668.8999999999987</c:v>
                </c:pt>
                <c:pt idx="17">
                  <c:v>2640.7999999999997</c:v>
                </c:pt>
                <c:pt idx="18">
                  <c:v>1235.3</c:v>
                </c:pt>
                <c:pt idx="19">
                  <c:v>426.2</c:v>
                </c:pt>
              </c:numCache>
            </c:numRef>
          </c:val>
          <c:extLst>
            <c:ext xmlns:c16="http://schemas.microsoft.com/office/drawing/2014/chart" uri="{C3380CC4-5D6E-409C-BE32-E72D297353CC}">
              <c16:uniqueId val="{00000008-7300-4328-941F-9A1088AED1E1}"/>
            </c:ext>
          </c:extLst>
        </c:ser>
        <c:ser>
          <c:idx val="3"/>
          <c:order val="3"/>
          <c:tx>
            <c:strRef>
              <c:f>Sheet4!$E$3:$E$4</c:f>
              <c:strCache>
                <c:ptCount val="1"/>
              </c:strCache>
            </c:strRef>
          </c:tx>
          <c:spPr>
            <a:solidFill>
              <a:schemeClr val="accent4"/>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Sheet4!$E$5:$E$25</c:f>
              <c:numCache>
                <c:formatCode>0</c:formatCode>
                <c:ptCount val="20"/>
                <c:pt idx="0">
                  <c:v>16015.5</c:v>
                </c:pt>
                <c:pt idx="1">
                  <c:v>17138</c:v>
                </c:pt>
                <c:pt idx="2">
                  <c:v>1073.4000000000001</c:v>
                </c:pt>
                <c:pt idx="3">
                  <c:v>2802.2000000000003</c:v>
                </c:pt>
                <c:pt idx="4">
                  <c:v>464.9</c:v>
                </c:pt>
                <c:pt idx="5">
                  <c:v>2013.6000000000001</c:v>
                </c:pt>
                <c:pt idx="6">
                  <c:v>973.10000000000014</c:v>
                </c:pt>
                <c:pt idx="7">
                  <c:v>774.40000000000009</c:v>
                </c:pt>
                <c:pt idx="8">
                  <c:v>1668.3000000000002</c:v>
                </c:pt>
                <c:pt idx="9">
                  <c:v>1549.7</c:v>
                </c:pt>
                <c:pt idx="10">
                  <c:v>383.6</c:v>
                </c:pt>
                <c:pt idx="11">
                  <c:v>375.90000000000003</c:v>
                </c:pt>
                <c:pt idx="12">
                  <c:v>2027.4</c:v>
                </c:pt>
                <c:pt idx="13">
                  <c:v>330.6</c:v>
                </c:pt>
                <c:pt idx="14">
                  <c:v>636</c:v>
                </c:pt>
                <c:pt idx="16">
                  <c:v>1728.4</c:v>
                </c:pt>
                <c:pt idx="17">
                  <c:v>315.20000000000005</c:v>
                </c:pt>
                <c:pt idx="18">
                  <c:v>112.19999999999999</c:v>
                </c:pt>
              </c:numCache>
            </c:numRef>
          </c:val>
          <c:extLst>
            <c:ext xmlns:c16="http://schemas.microsoft.com/office/drawing/2014/chart" uri="{C3380CC4-5D6E-409C-BE32-E72D297353CC}">
              <c16:uniqueId val="{00000009-7300-4328-941F-9A1088AED1E1}"/>
            </c:ext>
          </c:extLst>
        </c:ser>
        <c:dLbls>
          <c:showLegendKey val="0"/>
          <c:showVal val="0"/>
          <c:showCatName val="0"/>
          <c:showSerName val="0"/>
          <c:showPercent val="0"/>
          <c:showBubbleSize val="0"/>
        </c:dLbls>
        <c:gapWidth val="150"/>
        <c:overlap val="100"/>
        <c:axId val="60440080"/>
        <c:axId val="60438160"/>
      </c:barChart>
      <c:catAx>
        <c:axId val="6044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8160"/>
        <c:crosses val="autoZero"/>
        <c:auto val="1"/>
        <c:lblAlgn val="ctr"/>
        <c:lblOffset val="100"/>
        <c:noMultiLvlLbl val="0"/>
      </c:catAx>
      <c:valAx>
        <c:axId val="604381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46-4123-93EC-3BE4DD216E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46-4123-93EC-3BE4DD216E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46-4123-93EC-3BE4DD216E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46-4123-93EC-3BE4DD216EC0}"/>
              </c:ext>
            </c:extLst>
          </c:dPt>
          <c:cat>
            <c:strRef>
              <c:f>Sheet5!$A$4:$A$8</c:f>
              <c:strCache>
                <c:ptCount val="4"/>
                <c:pt idx="0">
                  <c:v>Female</c:v>
                </c:pt>
                <c:pt idx="1">
                  <c:v>Male</c:v>
                </c:pt>
                <c:pt idx="2">
                  <c:v>Other</c:v>
                </c:pt>
                <c:pt idx="3">
                  <c:v>Unknown</c:v>
                </c:pt>
              </c:strCache>
            </c:strRef>
          </c:cat>
          <c:val>
            <c:numRef>
              <c:f>Sheet5!$B$4:$B$8</c:f>
              <c:numCache>
                <c:formatCode>0.00%</c:formatCode>
                <c:ptCount val="4"/>
                <c:pt idx="0">
                  <c:v>0.52495717387974927</c:v>
                </c:pt>
                <c:pt idx="1">
                  <c:v>0.37116849131567309</c:v>
                </c:pt>
                <c:pt idx="2">
                  <c:v>2.6245886489133296E-2</c:v>
                </c:pt>
                <c:pt idx="3">
                  <c:v>7.7628448315444298E-2</c:v>
                </c:pt>
              </c:numCache>
            </c:numRef>
          </c:val>
          <c:extLst>
            <c:ext xmlns:c16="http://schemas.microsoft.com/office/drawing/2014/chart" uri="{C3380CC4-5D6E-409C-BE32-E72D297353CC}">
              <c16:uniqueId val="{00000000-8B7F-4807-9CDA-18BA74DB4C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4FA-4E2B-9605-2F331E2D9D7F}"/>
            </c:ext>
          </c:extLst>
        </c:ser>
        <c:dLbls>
          <c:showLegendKey val="0"/>
          <c:showVal val="0"/>
          <c:showCatName val="0"/>
          <c:showSerName val="0"/>
          <c:showPercent val="0"/>
          <c:showBubbleSize val="0"/>
        </c:dLbls>
        <c:gapWidth val="219"/>
        <c:overlap val="-27"/>
        <c:axId val="1918928928"/>
        <c:axId val="1918929408"/>
      </c:barChart>
      <c:catAx>
        <c:axId val="191892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929408"/>
        <c:crosses val="autoZero"/>
        <c:auto val="1"/>
        <c:lblAlgn val="ctr"/>
        <c:lblOffset val="100"/>
        <c:noMultiLvlLbl val="0"/>
      </c:catAx>
      <c:valAx>
        <c:axId val="191892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92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1</c:v>
                </c:pt>
              </c:strCache>
            </c:strRef>
          </c:tx>
          <c:spPr>
            <a:solidFill>
              <a:schemeClr val="accent1"/>
            </a:solidFill>
            <a:ln>
              <a:noFill/>
            </a:ln>
            <a:effectLst/>
          </c:spPr>
          <c:invertIfNegative val="0"/>
          <c:cat>
            <c:strRef>
              <c:f>Sheet8!$A$5:$A$9</c:f>
              <c:strCache>
                <c:ptCount val="4"/>
                <c:pt idx="0">
                  <c:v>Jan</c:v>
                </c:pt>
                <c:pt idx="1">
                  <c:v>Feb</c:v>
                </c:pt>
                <c:pt idx="2">
                  <c:v>Mar</c:v>
                </c:pt>
                <c:pt idx="3">
                  <c:v>Apr</c:v>
                </c:pt>
              </c:strCache>
            </c:strRef>
          </c:cat>
          <c:val>
            <c:numRef>
              <c:f>Sheet8!$B$5:$B$9</c:f>
              <c:numCache>
                <c:formatCode>General</c:formatCode>
                <c:ptCount val="4"/>
                <c:pt idx="0">
                  <c:v>7</c:v>
                </c:pt>
                <c:pt idx="1">
                  <c:v>5</c:v>
                </c:pt>
                <c:pt idx="2">
                  <c:v>9</c:v>
                </c:pt>
              </c:numCache>
            </c:numRef>
          </c:val>
          <c:extLst>
            <c:ext xmlns:c16="http://schemas.microsoft.com/office/drawing/2014/chart" uri="{C3380CC4-5D6E-409C-BE32-E72D297353CC}">
              <c16:uniqueId val="{00000000-8420-44A1-B08D-F5634E3DE78E}"/>
            </c:ext>
          </c:extLst>
        </c:ser>
        <c:ser>
          <c:idx val="1"/>
          <c:order val="1"/>
          <c:tx>
            <c:strRef>
              <c:f>Sheet8!$C$3:$C$4</c:f>
              <c:strCache>
                <c:ptCount val="1"/>
                <c:pt idx="0">
                  <c:v>2</c:v>
                </c:pt>
              </c:strCache>
            </c:strRef>
          </c:tx>
          <c:spPr>
            <a:solidFill>
              <a:schemeClr val="accent2"/>
            </a:solidFill>
            <a:ln>
              <a:noFill/>
            </a:ln>
            <a:effectLst/>
          </c:spPr>
          <c:invertIfNegative val="0"/>
          <c:cat>
            <c:strRef>
              <c:f>Sheet8!$A$5:$A$9</c:f>
              <c:strCache>
                <c:ptCount val="4"/>
                <c:pt idx="0">
                  <c:v>Jan</c:v>
                </c:pt>
                <c:pt idx="1">
                  <c:v>Feb</c:v>
                </c:pt>
                <c:pt idx="2">
                  <c:v>Mar</c:v>
                </c:pt>
                <c:pt idx="3">
                  <c:v>Apr</c:v>
                </c:pt>
              </c:strCache>
            </c:strRef>
          </c:cat>
          <c:val>
            <c:numRef>
              <c:f>Sheet8!$C$5:$C$9</c:f>
              <c:numCache>
                <c:formatCode>General</c:formatCode>
                <c:ptCount val="4"/>
                <c:pt idx="0">
                  <c:v>35</c:v>
                </c:pt>
                <c:pt idx="1">
                  <c:v>47</c:v>
                </c:pt>
                <c:pt idx="2">
                  <c:v>45</c:v>
                </c:pt>
              </c:numCache>
            </c:numRef>
          </c:val>
          <c:extLst>
            <c:ext xmlns:c16="http://schemas.microsoft.com/office/drawing/2014/chart" uri="{C3380CC4-5D6E-409C-BE32-E72D297353CC}">
              <c16:uniqueId val="{00000001-8420-44A1-B08D-F5634E3DE78E}"/>
            </c:ext>
          </c:extLst>
        </c:ser>
        <c:ser>
          <c:idx val="2"/>
          <c:order val="2"/>
          <c:tx>
            <c:strRef>
              <c:f>Sheet8!$D$3:$D$4</c:f>
              <c:strCache>
                <c:ptCount val="1"/>
                <c:pt idx="0">
                  <c:v>3</c:v>
                </c:pt>
              </c:strCache>
            </c:strRef>
          </c:tx>
          <c:spPr>
            <a:solidFill>
              <a:schemeClr val="accent3"/>
            </a:solidFill>
            <a:ln>
              <a:noFill/>
            </a:ln>
            <a:effectLst/>
          </c:spPr>
          <c:invertIfNegative val="0"/>
          <c:cat>
            <c:strRef>
              <c:f>Sheet8!$A$5:$A$9</c:f>
              <c:strCache>
                <c:ptCount val="4"/>
                <c:pt idx="0">
                  <c:v>Jan</c:v>
                </c:pt>
                <c:pt idx="1">
                  <c:v>Feb</c:v>
                </c:pt>
                <c:pt idx="2">
                  <c:v>Mar</c:v>
                </c:pt>
                <c:pt idx="3">
                  <c:v>Apr</c:v>
                </c:pt>
              </c:strCache>
            </c:strRef>
          </c:cat>
          <c:val>
            <c:numRef>
              <c:f>Sheet8!$D$5:$D$9</c:f>
              <c:numCache>
                <c:formatCode>General</c:formatCode>
                <c:ptCount val="4"/>
                <c:pt idx="0">
                  <c:v>145</c:v>
                </c:pt>
                <c:pt idx="1">
                  <c:v>179</c:v>
                </c:pt>
                <c:pt idx="2">
                  <c:v>167</c:v>
                </c:pt>
                <c:pt idx="3">
                  <c:v>4</c:v>
                </c:pt>
              </c:numCache>
            </c:numRef>
          </c:val>
          <c:extLst>
            <c:ext xmlns:c16="http://schemas.microsoft.com/office/drawing/2014/chart" uri="{C3380CC4-5D6E-409C-BE32-E72D297353CC}">
              <c16:uniqueId val="{00000002-8420-44A1-B08D-F5634E3DE78E}"/>
            </c:ext>
          </c:extLst>
        </c:ser>
        <c:ser>
          <c:idx val="3"/>
          <c:order val="3"/>
          <c:tx>
            <c:strRef>
              <c:f>Sheet8!$E$3:$E$4</c:f>
              <c:strCache>
                <c:ptCount val="1"/>
                <c:pt idx="0">
                  <c:v>4</c:v>
                </c:pt>
              </c:strCache>
            </c:strRef>
          </c:tx>
          <c:spPr>
            <a:solidFill>
              <a:schemeClr val="accent4"/>
            </a:solidFill>
            <a:ln>
              <a:noFill/>
            </a:ln>
            <a:effectLst/>
          </c:spPr>
          <c:invertIfNegative val="0"/>
          <c:cat>
            <c:strRef>
              <c:f>Sheet8!$A$5:$A$9</c:f>
              <c:strCache>
                <c:ptCount val="4"/>
                <c:pt idx="0">
                  <c:v>Jan</c:v>
                </c:pt>
                <c:pt idx="1">
                  <c:v>Feb</c:v>
                </c:pt>
                <c:pt idx="2">
                  <c:v>Mar</c:v>
                </c:pt>
                <c:pt idx="3">
                  <c:v>Apr</c:v>
                </c:pt>
              </c:strCache>
            </c:strRef>
          </c:cat>
          <c:val>
            <c:numRef>
              <c:f>Sheet8!$E$5:$E$9</c:f>
              <c:numCache>
                <c:formatCode>General</c:formatCode>
                <c:ptCount val="4"/>
                <c:pt idx="0">
                  <c:v>293</c:v>
                </c:pt>
                <c:pt idx="1">
                  <c:v>369</c:v>
                </c:pt>
                <c:pt idx="2">
                  <c:v>366</c:v>
                </c:pt>
                <c:pt idx="3">
                  <c:v>8</c:v>
                </c:pt>
              </c:numCache>
            </c:numRef>
          </c:val>
          <c:extLst>
            <c:ext xmlns:c16="http://schemas.microsoft.com/office/drawing/2014/chart" uri="{C3380CC4-5D6E-409C-BE32-E72D297353CC}">
              <c16:uniqueId val="{00000003-8420-44A1-B08D-F5634E3DE78E}"/>
            </c:ext>
          </c:extLst>
        </c:ser>
        <c:ser>
          <c:idx val="4"/>
          <c:order val="4"/>
          <c:tx>
            <c:strRef>
              <c:f>Sheet8!$F$3:$F$4</c:f>
              <c:strCache>
                <c:ptCount val="1"/>
                <c:pt idx="0">
                  <c:v>5</c:v>
                </c:pt>
              </c:strCache>
            </c:strRef>
          </c:tx>
          <c:spPr>
            <a:solidFill>
              <a:schemeClr val="accent5"/>
            </a:solidFill>
            <a:ln>
              <a:noFill/>
            </a:ln>
            <a:effectLst/>
          </c:spPr>
          <c:invertIfNegative val="0"/>
          <c:cat>
            <c:strRef>
              <c:f>Sheet8!$A$5:$A$9</c:f>
              <c:strCache>
                <c:ptCount val="4"/>
                <c:pt idx="0">
                  <c:v>Jan</c:v>
                </c:pt>
                <c:pt idx="1">
                  <c:v>Feb</c:v>
                </c:pt>
                <c:pt idx="2">
                  <c:v>Mar</c:v>
                </c:pt>
                <c:pt idx="3">
                  <c:v>Apr</c:v>
                </c:pt>
              </c:strCache>
            </c:strRef>
          </c:cat>
          <c:val>
            <c:numRef>
              <c:f>Sheet8!$F$5:$F$9</c:f>
              <c:numCache>
                <c:formatCode>General</c:formatCode>
                <c:ptCount val="4"/>
                <c:pt idx="0">
                  <c:v>200</c:v>
                </c:pt>
                <c:pt idx="1">
                  <c:v>248</c:v>
                </c:pt>
                <c:pt idx="2">
                  <c:v>267</c:v>
                </c:pt>
                <c:pt idx="3">
                  <c:v>6</c:v>
                </c:pt>
              </c:numCache>
            </c:numRef>
          </c:val>
          <c:extLst>
            <c:ext xmlns:c16="http://schemas.microsoft.com/office/drawing/2014/chart" uri="{C3380CC4-5D6E-409C-BE32-E72D297353CC}">
              <c16:uniqueId val="{00000006-8420-44A1-B08D-F5634E3DE78E}"/>
            </c:ext>
          </c:extLst>
        </c:ser>
        <c:dLbls>
          <c:showLegendKey val="0"/>
          <c:showVal val="0"/>
          <c:showCatName val="0"/>
          <c:showSerName val="0"/>
          <c:showPercent val="0"/>
          <c:showBubbleSize val="0"/>
        </c:dLbls>
        <c:gapWidth val="219"/>
        <c:overlap val="-27"/>
        <c:axId val="2130546768"/>
        <c:axId val="2130546288"/>
      </c:barChart>
      <c:catAx>
        <c:axId val="21305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46288"/>
        <c:crosses val="autoZero"/>
        <c:auto val="1"/>
        <c:lblAlgn val="ctr"/>
        <c:lblOffset val="100"/>
        <c:noMultiLvlLbl val="0"/>
      </c:catAx>
      <c:valAx>
        <c:axId val="213054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4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7"/>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IN" sz="1400" b="0" i="0" u="none" strike="noStrike" baseline="0">
                <a:solidFill>
                  <a:schemeClr val="accent3"/>
                </a:solidFill>
                <a:effectLst/>
              </a:rPr>
              <a:t>Trend in the last 13 weeks </a:t>
            </a:r>
            <a:endParaRPr lang="en-IN" baseline="0">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Sum of Amount</c:v>
                </c:pt>
              </c:strCache>
            </c:strRef>
          </c:tx>
          <c:spPr>
            <a:ln w="28575" cap="rnd">
              <a:solidFill>
                <a:schemeClr val="accent1"/>
              </a:solidFill>
              <a:round/>
            </a:ln>
            <a:effectLst/>
          </c:spPr>
          <c:marker>
            <c:symbol val="none"/>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Sheet1!$B$8:$B$21</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01B6-4AD2-9F53-65C4E20D5A04}"/>
            </c:ext>
          </c:extLst>
        </c:ser>
        <c:dLbls>
          <c:showLegendKey val="0"/>
          <c:showVal val="0"/>
          <c:showCatName val="0"/>
          <c:showSerName val="0"/>
          <c:showPercent val="0"/>
          <c:showBubbleSize val="0"/>
        </c:dLbls>
        <c:marker val="1"/>
        <c:smooth val="0"/>
        <c:axId val="31394656"/>
        <c:axId val="31392256"/>
      </c:lineChart>
      <c:lineChart>
        <c:grouping val="standard"/>
        <c:varyColors val="0"/>
        <c:ser>
          <c:idx val="1"/>
          <c:order val="1"/>
          <c:tx>
            <c:strRef>
              <c:f>Sheet1!$C$7</c:f>
              <c:strCache>
                <c:ptCount val="1"/>
                <c:pt idx="0">
                  <c:v>Sum of Quantity</c:v>
                </c:pt>
              </c:strCache>
            </c:strRef>
          </c:tx>
          <c:spPr>
            <a:ln w="28575" cap="rnd">
              <a:solidFill>
                <a:schemeClr val="accent2"/>
              </a:solidFill>
              <a:round/>
            </a:ln>
            <a:effectLst/>
          </c:spPr>
          <c:marker>
            <c:symbol val="none"/>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Sheet1!$C$8:$C$21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01B6-4AD2-9F53-65C4E20D5A04}"/>
            </c:ext>
          </c:extLst>
        </c:ser>
        <c:dLbls>
          <c:showLegendKey val="0"/>
          <c:showVal val="0"/>
          <c:showCatName val="0"/>
          <c:showSerName val="0"/>
          <c:showPercent val="0"/>
          <c:showBubbleSize val="0"/>
        </c:dLbls>
        <c:marker val="1"/>
        <c:smooth val="0"/>
        <c:axId val="2042015680"/>
        <c:axId val="2042015200"/>
      </c:lineChart>
      <c:catAx>
        <c:axId val="3139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2256"/>
        <c:crosses val="autoZero"/>
        <c:auto val="1"/>
        <c:lblAlgn val="ctr"/>
        <c:lblOffset val="100"/>
        <c:noMultiLvlLbl val="0"/>
      </c:catAx>
      <c:valAx>
        <c:axId val="313922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4656"/>
        <c:crosses val="autoZero"/>
        <c:crossBetween val="between"/>
      </c:valAx>
      <c:valAx>
        <c:axId val="20420152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015680"/>
        <c:crosses val="max"/>
        <c:crossBetween val="between"/>
      </c:valAx>
      <c:catAx>
        <c:axId val="2042015680"/>
        <c:scaling>
          <c:orientation val="minMax"/>
        </c:scaling>
        <c:delete val="1"/>
        <c:axPos val="b"/>
        <c:numFmt formatCode="General" sourceLinked="1"/>
        <c:majorTickMark val="out"/>
        <c:minorTickMark val="none"/>
        <c:tickLblPos val="nextTo"/>
        <c:crossAx val="20420152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shade val="50000"/>
          <a:alpha val="88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they</a:t>
            </a:r>
            <a:r>
              <a:rPr lang="en-US" baseline="0"/>
              <a:t>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77749342693716"/>
          <c:y val="0.32196181779298133"/>
          <c:w val="0.87493325459993587"/>
          <c:h val="0.39244267730022048"/>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1</c:v>
                </c:pt>
                <c:pt idx="1">
                  <c:v>2</c:v>
                </c:pt>
                <c:pt idx="2">
                  <c:v>3</c:v>
                </c:pt>
                <c:pt idx="3">
                  <c:v>4</c:v>
                </c:pt>
                <c:pt idx="4">
                  <c:v>5</c:v>
                </c:pt>
                <c:pt idx="5">
                  <c:v>6-10</c:v>
                </c:pt>
                <c:pt idx="6">
                  <c:v>11-30</c:v>
                </c:pt>
                <c:pt idx="7">
                  <c:v>31-87</c:v>
                </c:pt>
              </c:strCache>
            </c:strRef>
          </c:cat>
          <c:val>
            <c:numRef>
              <c:f>Sheet3!$B$4:$B$12</c:f>
              <c:numCache>
                <c:formatCode>General</c:formatCode>
                <c:ptCount val="8"/>
                <c:pt idx="0">
                  <c:v>397</c:v>
                </c:pt>
                <c:pt idx="1">
                  <c:v>540</c:v>
                </c:pt>
                <c:pt idx="2">
                  <c:v>375</c:v>
                </c:pt>
                <c:pt idx="3">
                  <c:v>246</c:v>
                </c:pt>
                <c:pt idx="4">
                  <c:v>195</c:v>
                </c:pt>
                <c:pt idx="5">
                  <c:v>414</c:v>
                </c:pt>
                <c:pt idx="6">
                  <c:v>212</c:v>
                </c:pt>
                <c:pt idx="7">
                  <c:v>21</c:v>
                </c:pt>
              </c:numCache>
            </c:numRef>
          </c:val>
          <c:extLst>
            <c:ext xmlns:c16="http://schemas.microsoft.com/office/drawing/2014/chart" uri="{C3380CC4-5D6E-409C-BE32-E72D297353CC}">
              <c16:uniqueId val="{00000000-6E6A-48E1-9842-18A396CC06A6}"/>
            </c:ext>
          </c:extLst>
        </c:ser>
        <c:dLbls>
          <c:showLegendKey val="0"/>
          <c:showVal val="0"/>
          <c:showCatName val="0"/>
          <c:showSerName val="0"/>
          <c:showPercent val="0"/>
          <c:showBubbleSize val="0"/>
        </c:dLbls>
        <c:gapWidth val="219"/>
        <c:overlap val="-27"/>
        <c:axId val="60360528"/>
        <c:axId val="60359088"/>
      </c:barChart>
      <c:catAx>
        <c:axId val="6036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59088"/>
        <c:crosses val="autoZero"/>
        <c:auto val="1"/>
        <c:lblAlgn val="ctr"/>
        <c:lblOffset val="100"/>
        <c:noMultiLvlLbl val="0"/>
      </c:catAx>
      <c:valAx>
        <c:axId val="6035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a:schemeClr val="accent1"/>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Which products are popular?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O</c:v>
                </c:pt>
              </c:strCache>
            </c:strRef>
          </c:tx>
          <c:spPr>
            <a:solidFill>
              <a:schemeClr val="accent1"/>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Sheet4!$B$5:$B$25</c:f>
              <c:numCache>
                <c:formatCode>0</c:formatCode>
                <c:ptCount val="20"/>
                <c:pt idx="0">
                  <c:v>3173</c:v>
                </c:pt>
                <c:pt idx="1">
                  <c:v>1788.7</c:v>
                </c:pt>
                <c:pt idx="2">
                  <c:v>1304.5999999999999</c:v>
                </c:pt>
                <c:pt idx="3">
                  <c:v>2266.7999999999997</c:v>
                </c:pt>
                <c:pt idx="4">
                  <c:v>894</c:v>
                </c:pt>
                <c:pt idx="5">
                  <c:v>656.7</c:v>
                </c:pt>
                <c:pt idx="6">
                  <c:v>558.1</c:v>
                </c:pt>
                <c:pt idx="7">
                  <c:v>216.79999999999998</c:v>
                </c:pt>
                <c:pt idx="8">
                  <c:v>606.79999999999995</c:v>
                </c:pt>
                <c:pt idx="9">
                  <c:v>1415.4</c:v>
                </c:pt>
                <c:pt idx="10">
                  <c:v>537.70000000000005</c:v>
                </c:pt>
                <c:pt idx="11">
                  <c:v>1310.3</c:v>
                </c:pt>
                <c:pt idx="12">
                  <c:v>222.8</c:v>
                </c:pt>
                <c:pt idx="14">
                  <c:v>670.80000000000007</c:v>
                </c:pt>
                <c:pt idx="15">
                  <c:v>295.79999999999995</c:v>
                </c:pt>
                <c:pt idx="16">
                  <c:v>109.80000000000001</c:v>
                </c:pt>
                <c:pt idx="17">
                  <c:v>90.4</c:v>
                </c:pt>
                <c:pt idx="18">
                  <c:v>828.8</c:v>
                </c:pt>
                <c:pt idx="19">
                  <c:v>86.8</c:v>
                </c:pt>
              </c:numCache>
            </c:numRef>
          </c:val>
          <c:extLst>
            <c:ext xmlns:c16="http://schemas.microsoft.com/office/drawing/2014/chart" uri="{C3380CC4-5D6E-409C-BE32-E72D297353CC}">
              <c16:uniqueId val="{00000000-59D9-4E9E-869F-51BC4DB69138}"/>
            </c:ext>
          </c:extLst>
        </c:ser>
        <c:ser>
          <c:idx val="1"/>
          <c:order val="1"/>
          <c:tx>
            <c:strRef>
              <c:f>Sheet4!$C$3:$C$4</c:f>
              <c:strCache>
                <c:ptCount val="1"/>
                <c:pt idx="0">
                  <c:v>M</c:v>
                </c:pt>
              </c:strCache>
            </c:strRef>
          </c:tx>
          <c:spPr>
            <a:solidFill>
              <a:schemeClr val="accent2"/>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Sheet4!$C$5:$C$25</c:f>
              <c:numCache>
                <c:formatCode>0</c:formatCode>
                <c:ptCount val="20"/>
                <c:pt idx="0">
                  <c:v>42922.100000000006</c:v>
                </c:pt>
                <c:pt idx="1">
                  <c:v>42448.80000000001</c:v>
                </c:pt>
                <c:pt idx="2">
                  <c:v>18378.100000000006</c:v>
                </c:pt>
                <c:pt idx="3">
                  <c:v>20907.899999999998</c:v>
                </c:pt>
                <c:pt idx="4">
                  <c:v>17923.5</c:v>
                </c:pt>
                <c:pt idx="5">
                  <c:v>8644.8999999999978</c:v>
                </c:pt>
                <c:pt idx="6">
                  <c:v>13831.999999999996</c:v>
                </c:pt>
                <c:pt idx="7">
                  <c:v>11586.300000000001</c:v>
                </c:pt>
                <c:pt idx="8">
                  <c:v>8705.9</c:v>
                </c:pt>
                <c:pt idx="9">
                  <c:v>6208.1</c:v>
                </c:pt>
                <c:pt idx="10">
                  <c:v>6977.3</c:v>
                </c:pt>
                <c:pt idx="11">
                  <c:v>11228.900000000001</c:v>
                </c:pt>
                <c:pt idx="12">
                  <c:v>6150.8</c:v>
                </c:pt>
                <c:pt idx="13">
                  <c:v>6373.0999999999995</c:v>
                </c:pt>
                <c:pt idx="14">
                  <c:v>4991</c:v>
                </c:pt>
                <c:pt idx="15">
                  <c:v>3362.3000000000006</c:v>
                </c:pt>
                <c:pt idx="16">
                  <c:v>3198.4</c:v>
                </c:pt>
                <c:pt idx="17">
                  <c:v>3242.2</c:v>
                </c:pt>
                <c:pt idx="18">
                  <c:v>2420.7000000000003</c:v>
                </c:pt>
                <c:pt idx="19">
                  <c:v>1393.4</c:v>
                </c:pt>
              </c:numCache>
            </c:numRef>
          </c:val>
          <c:extLst>
            <c:ext xmlns:c16="http://schemas.microsoft.com/office/drawing/2014/chart" uri="{C3380CC4-5D6E-409C-BE32-E72D297353CC}">
              <c16:uniqueId val="{00000007-4F24-4397-ADDB-36C5842FFA80}"/>
            </c:ext>
          </c:extLst>
        </c:ser>
        <c:ser>
          <c:idx val="2"/>
          <c:order val="2"/>
          <c:tx>
            <c:strRef>
              <c:f>Sheet4!$D$3:$D$4</c:f>
              <c:strCache>
                <c:ptCount val="1"/>
                <c:pt idx="0">
                  <c:v>F</c:v>
                </c:pt>
              </c:strCache>
            </c:strRef>
          </c:tx>
          <c:spPr>
            <a:solidFill>
              <a:schemeClr val="accent3"/>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Sheet4!$D$5:$D$25</c:f>
              <c:numCache>
                <c:formatCode>0</c:formatCode>
                <c:ptCount val="20"/>
                <c:pt idx="0">
                  <c:v>65526.899999999987</c:v>
                </c:pt>
                <c:pt idx="1">
                  <c:v>51517.69999999999</c:v>
                </c:pt>
                <c:pt idx="2">
                  <c:v>36637.9</c:v>
                </c:pt>
                <c:pt idx="3">
                  <c:v>23579</c:v>
                </c:pt>
                <c:pt idx="4">
                  <c:v>15958.099999999999</c:v>
                </c:pt>
                <c:pt idx="5">
                  <c:v>20737.599999999999</c:v>
                </c:pt>
                <c:pt idx="6">
                  <c:v>16244.9</c:v>
                </c:pt>
                <c:pt idx="7">
                  <c:v>18259.300000000003</c:v>
                </c:pt>
                <c:pt idx="8">
                  <c:v>14225.499999999996</c:v>
                </c:pt>
                <c:pt idx="9">
                  <c:v>15491.400000000005</c:v>
                </c:pt>
                <c:pt idx="10">
                  <c:v>15089.999999999995</c:v>
                </c:pt>
                <c:pt idx="11">
                  <c:v>7255.300000000002</c:v>
                </c:pt>
                <c:pt idx="12">
                  <c:v>8267.2000000000007</c:v>
                </c:pt>
                <c:pt idx="13">
                  <c:v>9612.6999999999953</c:v>
                </c:pt>
                <c:pt idx="14">
                  <c:v>4965.8</c:v>
                </c:pt>
                <c:pt idx="15">
                  <c:v>7367.1</c:v>
                </c:pt>
                <c:pt idx="16">
                  <c:v>5668.8999999999987</c:v>
                </c:pt>
                <c:pt idx="17">
                  <c:v>2640.7999999999997</c:v>
                </c:pt>
                <c:pt idx="18">
                  <c:v>1235.3</c:v>
                </c:pt>
                <c:pt idx="19">
                  <c:v>426.2</c:v>
                </c:pt>
              </c:numCache>
            </c:numRef>
          </c:val>
          <c:extLst>
            <c:ext xmlns:c16="http://schemas.microsoft.com/office/drawing/2014/chart" uri="{C3380CC4-5D6E-409C-BE32-E72D297353CC}">
              <c16:uniqueId val="{00000008-4F24-4397-ADDB-36C5842FFA80}"/>
            </c:ext>
          </c:extLst>
        </c:ser>
        <c:ser>
          <c:idx val="3"/>
          <c:order val="3"/>
          <c:tx>
            <c:strRef>
              <c:f>Sheet4!$E$3:$E$4</c:f>
              <c:strCache>
                <c:ptCount val="1"/>
              </c:strCache>
            </c:strRef>
          </c:tx>
          <c:spPr>
            <a:solidFill>
              <a:schemeClr val="accent4"/>
            </a:solidFill>
            <a:ln>
              <a:noFill/>
            </a:ln>
            <a:effectLst/>
          </c:spPr>
          <c:invertIfNegative val="0"/>
          <c:cat>
            <c:strRef>
              <c:f>Sheet4!$A$5:$A$25</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Sheet4!$E$5:$E$25</c:f>
              <c:numCache>
                <c:formatCode>0</c:formatCode>
                <c:ptCount val="20"/>
                <c:pt idx="0">
                  <c:v>16015.5</c:v>
                </c:pt>
                <c:pt idx="1">
                  <c:v>17138</c:v>
                </c:pt>
                <c:pt idx="2">
                  <c:v>1073.4000000000001</c:v>
                </c:pt>
                <c:pt idx="3">
                  <c:v>2802.2000000000003</c:v>
                </c:pt>
                <c:pt idx="4">
                  <c:v>464.9</c:v>
                </c:pt>
                <c:pt idx="5">
                  <c:v>2013.6000000000001</c:v>
                </c:pt>
                <c:pt idx="6">
                  <c:v>973.10000000000014</c:v>
                </c:pt>
                <c:pt idx="7">
                  <c:v>774.40000000000009</c:v>
                </c:pt>
                <c:pt idx="8">
                  <c:v>1668.3000000000002</c:v>
                </c:pt>
                <c:pt idx="9">
                  <c:v>1549.7</c:v>
                </c:pt>
                <c:pt idx="10">
                  <c:v>383.6</c:v>
                </c:pt>
                <c:pt idx="11">
                  <c:v>375.90000000000003</c:v>
                </c:pt>
                <c:pt idx="12">
                  <c:v>2027.4</c:v>
                </c:pt>
                <c:pt idx="13">
                  <c:v>330.6</c:v>
                </c:pt>
                <c:pt idx="14">
                  <c:v>636</c:v>
                </c:pt>
                <c:pt idx="16">
                  <c:v>1728.4</c:v>
                </c:pt>
                <c:pt idx="17">
                  <c:v>315.20000000000005</c:v>
                </c:pt>
                <c:pt idx="18">
                  <c:v>112.19999999999999</c:v>
                </c:pt>
              </c:numCache>
            </c:numRef>
          </c:val>
          <c:extLst>
            <c:ext xmlns:c16="http://schemas.microsoft.com/office/drawing/2014/chart" uri="{C3380CC4-5D6E-409C-BE32-E72D297353CC}">
              <c16:uniqueId val="{00000009-4F24-4397-ADDB-36C5842FFA80}"/>
            </c:ext>
          </c:extLst>
        </c:ser>
        <c:dLbls>
          <c:showLegendKey val="0"/>
          <c:showVal val="0"/>
          <c:showCatName val="0"/>
          <c:showSerName val="0"/>
          <c:showPercent val="0"/>
          <c:showBubbleSize val="0"/>
        </c:dLbls>
        <c:gapWidth val="150"/>
        <c:overlap val="100"/>
        <c:axId val="60440080"/>
        <c:axId val="60438160"/>
      </c:barChart>
      <c:catAx>
        <c:axId val="60440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8160"/>
        <c:crosses val="autoZero"/>
        <c:auto val="1"/>
        <c:lblAlgn val="ctr"/>
        <c:lblOffset val="100"/>
        <c:noMultiLvlLbl val="0"/>
      </c:catAx>
      <c:valAx>
        <c:axId val="6043816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0080"/>
        <c:crosses val="autoZero"/>
        <c:crossBetween val="between"/>
      </c:valAx>
      <c:spPr>
        <a:noFill/>
        <a:ln cap="sq"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r="2700000" algn="tl" rotWithShape="0">
        <a:prstClr val="black">
          <a:alpha val="52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buy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8E-419B-80BE-CAA275B156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8E-419B-80BE-CAA275B156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8E-419B-80BE-CAA275B156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8E-419B-80BE-CAA275B156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Female</c:v>
                </c:pt>
                <c:pt idx="1">
                  <c:v>Male</c:v>
                </c:pt>
                <c:pt idx="2">
                  <c:v>Other</c:v>
                </c:pt>
                <c:pt idx="3">
                  <c:v>Unknown</c:v>
                </c:pt>
              </c:strCache>
            </c:strRef>
          </c:cat>
          <c:val>
            <c:numRef>
              <c:f>Sheet5!$B$4:$B$8</c:f>
              <c:numCache>
                <c:formatCode>0.00%</c:formatCode>
                <c:ptCount val="4"/>
                <c:pt idx="0">
                  <c:v>0.52495717387974927</c:v>
                </c:pt>
                <c:pt idx="1">
                  <c:v>0.37116849131567309</c:v>
                </c:pt>
                <c:pt idx="2">
                  <c:v>2.6245886489133296E-2</c:v>
                </c:pt>
                <c:pt idx="3">
                  <c:v>7.7628448315444298E-2</c:v>
                </c:pt>
              </c:numCache>
            </c:numRef>
          </c:val>
          <c:extLst>
            <c:ext xmlns:c16="http://schemas.microsoft.com/office/drawing/2014/chart" uri="{C3380CC4-5D6E-409C-BE32-E72D297353CC}">
              <c16:uniqueId val="{00000008-058E-419B-80BE-CAA275B1560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long we take to ship the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9A5-4052-B521-FF79D214881C}"/>
            </c:ext>
          </c:extLst>
        </c:ser>
        <c:dLbls>
          <c:showLegendKey val="0"/>
          <c:showVal val="0"/>
          <c:showCatName val="0"/>
          <c:showSerName val="0"/>
          <c:showPercent val="0"/>
          <c:showBubbleSize val="0"/>
        </c:dLbls>
        <c:gapWidth val="219"/>
        <c:overlap val="-27"/>
        <c:axId val="1918928928"/>
        <c:axId val="1918929408"/>
      </c:barChart>
      <c:catAx>
        <c:axId val="1918928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929408"/>
        <c:crosses val="autoZero"/>
        <c:auto val="1"/>
        <c:lblAlgn val="ctr"/>
        <c:lblOffset val="100"/>
        <c:noMultiLvlLbl val="0"/>
      </c:catAx>
      <c:valAx>
        <c:axId val="19189294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92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happy are our customers?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1</c:v>
                </c:pt>
              </c:strCache>
            </c:strRef>
          </c:tx>
          <c:spPr>
            <a:solidFill>
              <a:schemeClr val="accent1"/>
            </a:solidFill>
            <a:ln>
              <a:noFill/>
            </a:ln>
            <a:effectLst/>
          </c:spPr>
          <c:invertIfNegative val="0"/>
          <c:cat>
            <c:strRef>
              <c:f>Sheet8!$A$5:$A$9</c:f>
              <c:strCache>
                <c:ptCount val="4"/>
                <c:pt idx="0">
                  <c:v>Jan</c:v>
                </c:pt>
                <c:pt idx="1">
                  <c:v>Feb</c:v>
                </c:pt>
                <c:pt idx="2">
                  <c:v>Mar</c:v>
                </c:pt>
                <c:pt idx="3">
                  <c:v>Apr</c:v>
                </c:pt>
              </c:strCache>
            </c:strRef>
          </c:cat>
          <c:val>
            <c:numRef>
              <c:f>Sheet8!$B$5:$B$9</c:f>
              <c:numCache>
                <c:formatCode>General</c:formatCode>
                <c:ptCount val="4"/>
                <c:pt idx="0">
                  <c:v>7</c:v>
                </c:pt>
                <c:pt idx="1">
                  <c:v>5</c:v>
                </c:pt>
                <c:pt idx="2">
                  <c:v>9</c:v>
                </c:pt>
              </c:numCache>
            </c:numRef>
          </c:val>
          <c:extLst>
            <c:ext xmlns:c16="http://schemas.microsoft.com/office/drawing/2014/chart" uri="{C3380CC4-5D6E-409C-BE32-E72D297353CC}">
              <c16:uniqueId val="{00000000-5E7D-4191-BC02-8D89139B024C}"/>
            </c:ext>
          </c:extLst>
        </c:ser>
        <c:ser>
          <c:idx val="1"/>
          <c:order val="1"/>
          <c:tx>
            <c:strRef>
              <c:f>Sheet8!$C$3:$C$4</c:f>
              <c:strCache>
                <c:ptCount val="1"/>
                <c:pt idx="0">
                  <c:v>2</c:v>
                </c:pt>
              </c:strCache>
            </c:strRef>
          </c:tx>
          <c:spPr>
            <a:solidFill>
              <a:schemeClr val="accent2"/>
            </a:solidFill>
            <a:ln>
              <a:noFill/>
            </a:ln>
            <a:effectLst/>
          </c:spPr>
          <c:invertIfNegative val="0"/>
          <c:cat>
            <c:strRef>
              <c:f>Sheet8!$A$5:$A$9</c:f>
              <c:strCache>
                <c:ptCount val="4"/>
                <c:pt idx="0">
                  <c:v>Jan</c:v>
                </c:pt>
                <c:pt idx="1">
                  <c:v>Feb</c:v>
                </c:pt>
                <c:pt idx="2">
                  <c:v>Mar</c:v>
                </c:pt>
                <c:pt idx="3">
                  <c:v>Apr</c:v>
                </c:pt>
              </c:strCache>
            </c:strRef>
          </c:cat>
          <c:val>
            <c:numRef>
              <c:f>Sheet8!$C$5:$C$9</c:f>
              <c:numCache>
                <c:formatCode>General</c:formatCode>
                <c:ptCount val="4"/>
                <c:pt idx="0">
                  <c:v>35</c:v>
                </c:pt>
                <c:pt idx="1">
                  <c:v>47</c:v>
                </c:pt>
                <c:pt idx="2">
                  <c:v>45</c:v>
                </c:pt>
              </c:numCache>
            </c:numRef>
          </c:val>
          <c:extLst>
            <c:ext xmlns:c16="http://schemas.microsoft.com/office/drawing/2014/chart" uri="{C3380CC4-5D6E-409C-BE32-E72D297353CC}">
              <c16:uniqueId val="{00000001-5E7D-4191-BC02-8D89139B024C}"/>
            </c:ext>
          </c:extLst>
        </c:ser>
        <c:ser>
          <c:idx val="2"/>
          <c:order val="2"/>
          <c:tx>
            <c:strRef>
              <c:f>Sheet8!$D$3:$D$4</c:f>
              <c:strCache>
                <c:ptCount val="1"/>
                <c:pt idx="0">
                  <c:v>3</c:v>
                </c:pt>
              </c:strCache>
            </c:strRef>
          </c:tx>
          <c:spPr>
            <a:solidFill>
              <a:schemeClr val="accent3"/>
            </a:solidFill>
            <a:ln>
              <a:noFill/>
            </a:ln>
            <a:effectLst/>
          </c:spPr>
          <c:invertIfNegative val="0"/>
          <c:cat>
            <c:strRef>
              <c:f>Sheet8!$A$5:$A$9</c:f>
              <c:strCache>
                <c:ptCount val="4"/>
                <c:pt idx="0">
                  <c:v>Jan</c:v>
                </c:pt>
                <c:pt idx="1">
                  <c:v>Feb</c:v>
                </c:pt>
                <c:pt idx="2">
                  <c:v>Mar</c:v>
                </c:pt>
                <c:pt idx="3">
                  <c:v>Apr</c:v>
                </c:pt>
              </c:strCache>
            </c:strRef>
          </c:cat>
          <c:val>
            <c:numRef>
              <c:f>Sheet8!$D$5:$D$9</c:f>
              <c:numCache>
                <c:formatCode>General</c:formatCode>
                <c:ptCount val="4"/>
                <c:pt idx="0">
                  <c:v>145</c:v>
                </c:pt>
                <c:pt idx="1">
                  <c:v>179</c:v>
                </c:pt>
                <c:pt idx="2">
                  <c:v>167</c:v>
                </c:pt>
                <c:pt idx="3">
                  <c:v>4</c:v>
                </c:pt>
              </c:numCache>
            </c:numRef>
          </c:val>
          <c:extLst>
            <c:ext xmlns:c16="http://schemas.microsoft.com/office/drawing/2014/chart" uri="{C3380CC4-5D6E-409C-BE32-E72D297353CC}">
              <c16:uniqueId val="{00000002-5E7D-4191-BC02-8D89139B024C}"/>
            </c:ext>
          </c:extLst>
        </c:ser>
        <c:ser>
          <c:idx val="3"/>
          <c:order val="3"/>
          <c:tx>
            <c:strRef>
              <c:f>Sheet8!$E$3:$E$4</c:f>
              <c:strCache>
                <c:ptCount val="1"/>
                <c:pt idx="0">
                  <c:v>4</c:v>
                </c:pt>
              </c:strCache>
            </c:strRef>
          </c:tx>
          <c:spPr>
            <a:solidFill>
              <a:schemeClr val="accent4"/>
            </a:solidFill>
            <a:ln>
              <a:noFill/>
            </a:ln>
            <a:effectLst/>
          </c:spPr>
          <c:invertIfNegative val="0"/>
          <c:cat>
            <c:strRef>
              <c:f>Sheet8!$A$5:$A$9</c:f>
              <c:strCache>
                <c:ptCount val="4"/>
                <c:pt idx="0">
                  <c:v>Jan</c:v>
                </c:pt>
                <c:pt idx="1">
                  <c:v>Feb</c:v>
                </c:pt>
                <c:pt idx="2">
                  <c:v>Mar</c:v>
                </c:pt>
                <c:pt idx="3">
                  <c:v>Apr</c:v>
                </c:pt>
              </c:strCache>
            </c:strRef>
          </c:cat>
          <c:val>
            <c:numRef>
              <c:f>Sheet8!$E$5:$E$9</c:f>
              <c:numCache>
                <c:formatCode>General</c:formatCode>
                <c:ptCount val="4"/>
                <c:pt idx="0">
                  <c:v>293</c:v>
                </c:pt>
                <c:pt idx="1">
                  <c:v>369</c:v>
                </c:pt>
                <c:pt idx="2">
                  <c:v>366</c:v>
                </c:pt>
                <c:pt idx="3">
                  <c:v>8</c:v>
                </c:pt>
              </c:numCache>
            </c:numRef>
          </c:val>
          <c:extLst>
            <c:ext xmlns:c16="http://schemas.microsoft.com/office/drawing/2014/chart" uri="{C3380CC4-5D6E-409C-BE32-E72D297353CC}">
              <c16:uniqueId val="{00000003-5E7D-4191-BC02-8D89139B024C}"/>
            </c:ext>
          </c:extLst>
        </c:ser>
        <c:ser>
          <c:idx val="4"/>
          <c:order val="4"/>
          <c:tx>
            <c:strRef>
              <c:f>Sheet8!$F$3:$F$4</c:f>
              <c:strCache>
                <c:ptCount val="1"/>
                <c:pt idx="0">
                  <c:v>5</c:v>
                </c:pt>
              </c:strCache>
            </c:strRef>
          </c:tx>
          <c:spPr>
            <a:solidFill>
              <a:schemeClr val="accent5"/>
            </a:solidFill>
            <a:ln>
              <a:noFill/>
            </a:ln>
            <a:effectLst/>
          </c:spPr>
          <c:invertIfNegative val="0"/>
          <c:cat>
            <c:strRef>
              <c:f>Sheet8!$A$5:$A$9</c:f>
              <c:strCache>
                <c:ptCount val="4"/>
                <c:pt idx="0">
                  <c:v>Jan</c:v>
                </c:pt>
                <c:pt idx="1">
                  <c:v>Feb</c:v>
                </c:pt>
                <c:pt idx="2">
                  <c:v>Mar</c:v>
                </c:pt>
                <c:pt idx="3">
                  <c:v>Apr</c:v>
                </c:pt>
              </c:strCache>
            </c:strRef>
          </c:cat>
          <c:val>
            <c:numRef>
              <c:f>Sheet8!$F$5:$F$9</c:f>
              <c:numCache>
                <c:formatCode>General</c:formatCode>
                <c:ptCount val="4"/>
                <c:pt idx="0">
                  <c:v>200</c:v>
                </c:pt>
                <c:pt idx="1">
                  <c:v>248</c:v>
                </c:pt>
                <c:pt idx="2">
                  <c:v>267</c:v>
                </c:pt>
                <c:pt idx="3">
                  <c:v>6</c:v>
                </c:pt>
              </c:numCache>
            </c:numRef>
          </c:val>
          <c:extLst>
            <c:ext xmlns:c16="http://schemas.microsoft.com/office/drawing/2014/chart" uri="{C3380CC4-5D6E-409C-BE32-E72D297353CC}">
              <c16:uniqueId val="{00000006-5E7D-4191-BC02-8D89139B024C}"/>
            </c:ext>
          </c:extLst>
        </c:ser>
        <c:dLbls>
          <c:showLegendKey val="0"/>
          <c:showVal val="0"/>
          <c:showCatName val="0"/>
          <c:showSerName val="0"/>
          <c:showPercent val="0"/>
          <c:showBubbleSize val="0"/>
        </c:dLbls>
        <c:gapWidth val="219"/>
        <c:overlap val="-27"/>
        <c:axId val="2130546768"/>
        <c:axId val="2130546288"/>
      </c:barChart>
      <c:catAx>
        <c:axId val="21305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46288"/>
        <c:crosses val="autoZero"/>
        <c:auto val="1"/>
        <c:lblAlgn val="ctr"/>
        <c:lblOffset val="100"/>
        <c:noMultiLvlLbl val="0"/>
      </c:catAx>
      <c:valAx>
        <c:axId val="213054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4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data id="2">
      <cx:strDim type="cat">
        <cx:f>_xlchart.v1.0</cx:f>
      </cx:strDim>
      <cx:numDim type="size">
        <cx:f>_xlchart.v1.6</cx:f>
      </cx:numDim>
    </cx:data>
    <cx:data id="3">
      <cx:strDim type="cat">
        <cx:f>_xlchart.v1.0</cx:f>
      </cx:strDim>
      <cx:numDim type="size">
        <cx:f>_xlchart.v1.8</cx:f>
      </cx:numDim>
    </cx:data>
  </cx:chartData>
  <cx:chart>
    <cx:title pos="t" align="ctr" overlay="0"/>
    <cx:plotArea>
      <cx:plotAreaRegion>
        <cx:series layoutId="treemap" uniqueId="{F22D2A3A-150E-4BD1-887B-3CEE047D566E}" formatIdx="0">
          <cx:tx>
            <cx:txData>
              <cx:f>_xlchart.v1.1</cx:f>
              <cx:v>Female</cx:v>
            </cx:txData>
          </cx:tx>
          <cx:dataLabels pos="inEnd">
            <cx:visibility seriesName="1" categoryName="1" value="1"/>
            <cx:separator>, </cx:separator>
          </cx:dataLabels>
          <cx:dataId val="0"/>
          <cx:layoutPr>
            <cx:parentLabelLayout val="overlapping"/>
          </cx:layoutPr>
        </cx:series>
        <cx:series layoutId="treemap" hidden="1" uniqueId="{F860DE95-3DD1-4C46-823E-AB55241CAE94}" formatIdx="1">
          <cx:tx>
            <cx:txData>
              <cx:f>_xlchart.v1.3</cx:f>
              <cx:v>Male</cx:v>
            </cx:txData>
          </cx:tx>
          <cx:dataLabels pos="inEnd">
            <cx:visibility seriesName="0" categoryName="1" value="0"/>
          </cx:dataLabels>
          <cx:dataId val="1"/>
          <cx:layoutPr>
            <cx:parentLabelLayout val="overlapping"/>
          </cx:layoutPr>
        </cx:series>
        <cx:series layoutId="treemap" hidden="1" uniqueId="{53A507BB-3CB7-424D-BB98-7DDA6B15ADE4}" formatIdx="2">
          <cx:tx>
            <cx:txData>
              <cx:f>_xlchart.v1.5</cx:f>
              <cx:v>Other</cx:v>
            </cx:txData>
          </cx:tx>
          <cx:dataLabels pos="inEnd">
            <cx:visibility seriesName="0" categoryName="1" value="0"/>
          </cx:dataLabels>
          <cx:dataId val="2"/>
          <cx:layoutPr>
            <cx:parentLabelLayout val="overlapping"/>
          </cx:layoutPr>
        </cx:series>
        <cx:series layoutId="treemap" hidden="1" uniqueId="{866AB0FA-F9A5-42AA-A942-2150B7F5DC61}" formatIdx="3">
          <cx:tx>
            <cx:txData>
              <cx:f>_xlchart.v1.7</cx:f>
              <cx:v>Unknown</cx:v>
            </cx:txData>
          </cx:tx>
          <cx:dataLabels pos="inEnd">
            <cx:visibility seriesName="0" categoryName="1" value="0"/>
          </cx:dataLabels>
          <cx:dataId val="3"/>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data id="1">
      <cx:strDim type="cat">
        <cx:f>_xlchart.v1.9</cx:f>
      </cx:strDim>
      <cx:numDim type="size">
        <cx:f>_xlchart.v1.13</cx:f>
      </cx:numDim>
    </cx:data>
    <cx:data id="2">
      <cx:strDim type="cat">
        <cx:f>_xlchart.v1.9</cx:f>
      </cx:strDim>
      <cx:numDim type="size">
        <cx:f>_xlchart.v1.15</cx:f>
      </cx:numDim>
    </cx:data>
    <cx:data id="3">
      <cx:strDim type="cat">
        <cx:f>_xlchart.v1.9</cx:f>
      </cx:strDim>
      <cx:numDim type="size">
        <cx:f>_xlchart.v1.17</cx: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How our customers like to buy</a:t>
            </a:r>
            <a:r>
              <a:rPr lang="en-IN">
                <a:effectLst/>
              </a:rPr>
              <a:t> </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treemap" uniqueId="{F22D2A3A-150E-4BD1-887B-3CEE047D566E}" formatIdx="0">
          <cx:tx>
            <cx:txData>
              <cx:f>_xlchart.v1.10</cx:f>
              <cx:v>Female</cx:v>
            </cx:txData>
          </cx:tx>
          <cx:dataLabels pos="inEnd">
            <cx:visibility seriesName="1" categoryName="1" value="1"/>
            <cx:separator>, </cx:separator>
          </cx:dataLabels>
          <cx:dataId val="0"/>
          <cx:layoutPr>
            <cx:parentLabelLayout val="overlapping"/>
          </cx:layoutPr>
        </cx:series>
        <cx:series layoutId="treemap" hidden="1" uniqueId="{F860DE95-3DD1-4C46-823E-AB55241CAE94}" formatIdx="1">
          <cx:tx>
            <cx:txData>
              <cx:f>_xlchart.v1.12</cx:f>
              <cx:v>Male</cx:v>
            </cx:txData>
          </cx:tx>
          <cx:dataLabels pos="inEnd">
            <cx:visibility seriesName="0" categoryName="1" value="0"/>
          </cx:dataLabels>
          <cx:dataId val="1"/>
          <cx:layoutPr>
            <cx:parentLabelLayout val="overlapping"/>
          </cx:layoutPr>
        </cx:series>
        <cx:series layoutId="treemap" hidden="1" uniqueId="{53A507BB-3CB7-424D-BB98-7DDA6B15ADE4}" formatIdx="2">
          <cx:tx>
            <cx:txData>
              <cx:f>_xlchart.v1.14</cx:f>
              <cx:v>Other</cx:v>
            </cx:txData>
          </cx:tx>
          <cx:dataLabels pos="inEnd">
            <cx:visibility seriesName="0" categoryName="1" value="0"/>
          </cx:dataLabels>
          <cx:dataId val="2"/>
          <cx:layoutPr>
            <cx:parentLabelLayout val="overlapping"/>
          </cx:layoutPr>
        </cx:series>
        <cx:series layoutId="treemap" hidden="1" uniqueId="{866AB0FA-F9A5-42AA-A942-2150B7F5DC61}" formatIdx="3">
          <cx:tx>
            <cx:txData>
              <cx:f>_xlchart.v1.16</cx:f>
              <cx:v>Unknown</cx:v>
            </cx:txData>
          </cx:tx>
          <cx:dataLabels pos="inEnd">
            <cx:visibility seriesName="0" categoryName="1" value="0"/>
          </cx:dataLabels>
          <cx:dataId val="3"/>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cap="sq">
      <a:solidFill>
        <a:schemeClr val="accent1"/>
      </a:solid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548640</xdr:colOff>
      <xdr:row>5</xdr:row>
      <xdr:rowOff>137160</xdr:rowOff>
    </xdr:from>
    <xdr:to>
      <xdr:col>5</xdr:col>
      <xdr:colOff>1501140</xdr:colOff>
      <xdr:row>20</xdr:row>
      <xdr:rowOff>137160</xdr:rowOff>
    </xdr:to>
    <xdr:graphicFrame macro="">
      <xdr:nvGraphicFramePr>
        <xdr:cNvPr id="2" name="Chart 1">
          <a:extLst>
            <a:ext uri="{FF2B5EF4-FFF2-40B4-BE49-F238E27FC236}">
              <a16:creationId xmlns:a16="http://schemas.microsoft.com/office/drawing/2014/main" id="{B652019E-35D0-719B-BAC0-C24808C01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586740</xdr:colOff>
      <xdr:row>5</xdr:row>
      <xdr:rowOff>60960</xdr:rowOff>
    </xdr:from>
    <xdr:to>
      <xdr:col>14</xdr:col>
      <xdr:colOff>281940</xdr:colOff>
      <xdr:row>20</xdr:row>
      <xdr:rowOff>60960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071957B-C4F8-321A-EE15-68676088BA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75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175260</xdr:colOff>
      <xdr:row>2</xdr:row>
      <xdr:rowOff>3810</xdr:rowOff>
    </xdr:from>
    <xdr:to>
      <xdr:col>12</xdr:col>
      <xdr:colOff>480060</xdr:colOff>
      <xdr:row>17</xdr:row>
      <xdr:rowOff>3810</xdr:rowOff>
    </xdr:to>
    <xdr:graphicFrame macro="">
      <xdr:nvGraphicFramePr>
        <xdr:cNvPr id="2" name="Chart 1">
          <a:extLst>
            <a:ext uri="{FF2B5EF4-FFF2-40B4-BE49-F238E27FC236}">
              <a16:creationId xmlns:a16="http://schemas.microsoft.com/office/drawing/2014/main" id="{CD76AB42-A8D9-7874-96BF-C5730CAE6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213360</xdr:colOff>
      <xdr:row>5</xdr:row>
      <xdr:rowOff>125730</xdr:rowOff>
    </xdr:from>
    <xdr:to>
      <xdr:col>13</xdr:col>
      <xdr:colOff>160020</xdr:colOff>
      <xdr:row>20</xdr:row>
      <xdr:rowOff>125730</xdr:rowOff>
    </xdr:to>
    <xdr:graphicFrame macro="">
      <xdr:nvGraphicFramePr>
        <xdr:cNvPr id="3" name="Chart 2">
          <a:extLst>
            <a:ext uri="{FF2B5EF4-FFF2-40B4-BE49-F238E27FC236}">
              <a16:creationId xmlns:a16="http://schemas.microsoft.com/office/drawing/2014/main" id="{E752C767-E893-97CE-FD36-EA2812FE3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5</xdr:row>
      <xdr:rowOff>60960</xdr:rowOff>
    </xdr:from>
    <xdr:to>
      <xdr:col>11</xdr:col>
      <xdr:colOff>434340</xdr:colOff>
      <xdr:row>20</xdr:row>
      <xdr:rowOff>60960</xdr:rowOff>
    </xdr:to>
    <xdr:graphicFrame macro="">
      <xdr:nvGraphicFramePr>
        <xdr:cNvPr id="2" name="Chart 1">
          <a:extLst>
            <a:ext uri="{FF2B5EF4-FFF2-40B4-BE49-F238E27FC236}">
              <a16:creationId xmlns:a16="http://schemas.microsoft.com/office/drawing/2014/main" id="{63DB9A5C-3916-798A-9582-A9E1E0548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220980</xdr:colOff>
      <xdr:row>5</xdr:row>
      <xdr:rowOff>64770</xdr:rowOff>
    </xdr:from>
    <xdr:to>
      <xdr:col>11</xdr:col>
      <xdr:colOff>525780</xdr:colOff>
      <xdr:row>20</xdr:row>
      <xdr:rowOff>64770</xdr:rowOff>
    </xdr:to>
    <xdr:graphicFrame macro="">
      <xdr:nvGraphicFramePr>
        <xdr:cNvPr id="2" name="Chart 1">
          <a:extLst>
            <a:ext uri="{FF2B5EF4-FFF2-40B4-BE49-F238E27FC236}">
              <a16:creationId xmlns:a16="http://schemas.microsoft.com/office/drawing/2014/main" id="{7996EE5A-BAEF-3158-9703-1C9C794E6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320040</xdr:colOff>
      <xdr:row>10</xdr:row>
      <xdr:rowOff>110490</xdr:rowOff>
    </xdr:from>
    <xdr:to>
      <xdr:col>8</xdr:col>
      <xdr:colOff>472440</xdr:colOff>
      <xdr:row>25</xdr:row>
      <xdr:rowOff>110490</xdr:rowOff>
    </xdr:to>
    <xdr:graphicFrame macro="">
      <xdr:nvGraphicFramePr>
        <xdr:cNvPr id="2" name="Chart 1">
          <a:extLst>
            <a:ext uri="{FF2B5EF4-FFF2-40B4-BE49-F238E27FC236}">
              <a16:creationId xmlns:a16="http://schemas.microsoft.com/office/drawing/2014/main" id="{5F271693-83C1-EA73-B387-4CA69098C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213360</xdr:colOff>
      <xdr:row>6</xdr:row>
      <xdr:rowOff>22860</xdr:rowOff>
    </xdr:from>
    <xdr:to>
      <xdr:col>11</xdr:col>
      <xdr:colOff>213360</xdr:colOff>
      <xdr:row>20</xdr:row>
      <xdr:rowOff>43815</xdr:rowOff>
    </xdr:to>
    <mc:AlternateContent xmlns:mc="http://schemas.openxmlformats.org/markup-compatibility/2006" xmlns:a14="http://schemas.microsoft.com/office/drawing/2010/main">
      <mc:Choice Requires="a14">
        <xdr:graphicFrame macro="">
          <xdr:nvGraphicFramePr>
            <xdr:cNvPr id="3" name="Order Mode">
              <a:extLst>
                <a:ext uri="{FF2B5EF4-FFF2-40B4-BE49-F238E27FC236}">
                  <a16:creationId xmlns:a16="http://schemas.microsoft.com/office/drawing/2014/main" id="{787638BC-D5B9-75B9-5D3E-194AD78378C9}"/>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632960" y="1120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358140</xdr:colOff>
      <xdr:row>6</xdr:row>
      <xdr:rowOff>137160</xdr:rowOff>
    </xdr:from>
    <xdr:to>
      <xdr:col>14</xdr:col>
      <xdr:colOff>358140</xdr:colOff>
      <xdr:row>20</xdr:row>
      <xdr:rowOff>158115</xdr:rowOff>
    </xdr:to>
    <mc:AlternateContent xmlns:mc="http://schemas.openxmlformats.org/markup-compatibility/2006" xmlns:a14="http://schemas.microsoft.com/office/drawing/2010/main">
      <mc:Choice Requires="a14">
        <xdr:graphicFrame macro="">
          <xdr:nvGraphicFramePr>
            <xdr:cNvPr id="4" name="Customer Gender" descr="Unknown&#10;">
              <a:extLst>
                <a:ext uri="{FF2B5EF4-FFF2-40B4-BE49-F238E27FC236}">
                  <a16:creationId xmlns:a16="http://schemas.microsoft.com/office/drawing/2014/main" id="{12FA79FB-B208-45E3-0AA1-CF3A769A7F6B}"/>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6606540" y="1234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8021</xdr:colOff>
      <xdr:row>0</xdr:row>
      <xdr:rowOff>0</xdr:rowOff>
    </xdr:from>
    <xdr:to>
      <xdr:col>29</xdr:col>
      <xdr:colOff>157976</xdr:colOff>
      <xdr:row>43</xdr:row>
      <xdr:rowOff>40105</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96655" y="0"/>
          <a:ext cx="15334199" cy="8031812"/>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lt1"/>
            </a:solidFill>
          </a:endParaRPr>
        </a:p>
      </xdr:txBody>
    </xdr:sp>
    <xdr:clientData/>
  </xdr:twoCellAnchor>
  <xdr:twoCellAnchor>
    <xdr:from>
      <xdr:col>0</xdr:col>
      <xdr:colOff>8022</xdr:colOff>
      <xdr:row>0</xdr:row>
      <xdr:rowOff>0</xdr:rowOff>
    </xdr:from>
    <xdr:to>
      <xdr:col>3</xdr:col>
      <xdr:colOff>8022</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8022" y="0"/>
          <a:ext cx="1989221" cy="7932821"/>
        </a:xfrm>
        <a:prstGeom prst="rect">
          <a:avLst/>
        </a:prstGeom>
        <a:solidFill>
          <a:schemeClr val="accent3"/>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8021</xdr:colOff>
      <xdr:row>3</xdr:row>
      <xdr:rowOff>1</xdr:rowOff>
    </xdr:from>
    <xdr:to>
      <xdr:col>2</xdr:col>
      <xdr:colOff>224588</xdr:colOff>
      <xdr:row>5</xdr:row>
      <xdr:rowOff>8022</xdr:rowOff>
    </xdr:to>
    <xdr:sp macro="" textlink="Sheet9!B4">
      <xdr:nvSpPr>
        <xdr:cNvPr id="7" name="TextBox 6">
          <a:extLst>
            <a:ext uri="{FF2B5EF4-FFF2-40B4-BE49-F238E27FC236}">
              <a16:creationId xmlns:a16="http://schemas.microsoft.com/office/drawing/2014/main" id="{4D7EB27A-38D5-B5DC-F199-E1D726B99528}"/>
            </a:ext>
          </a:extLst>
        </xdr:cNvPr>
        <xdr:cNvSpPr txBox="1"/>
      </xdr:nvSpPr>
      <xdr:spPr>
        <a:xfrm>
          <a:off x="8021" y="553454"/>
          <a:ext cx="1973178" cy="37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78AB0E3-3C30-4ABA-A640-ED1894F38307}"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lgn="ctr"/>
            <a:t>2,400</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8021</xdr:colOff>
      <xdr:row>2</xdr:row>
      <xdr:rowOff>16041</xdr:rowOff>
    </xdr:from>
    <xdr:to>
      <xdr:col>3</xdr:col>
      <xdr:colOff>0</xdr:colOff>
      <xdr:row>3</xdr:row>
      <xdr:rowOff>96251</xdr:rowOff>
    </xdr:to>
    <xdr:sp macro="" textlink="">
      <xdr:nvSpPr>
        <xdr:cNvPr id="8" name="TextBox 7">
          <a:extLst>
            <a:ext uri="{FF2B5EF4-FFF2-40B4-BE49-F238E27FC236}">
              <a16:creationId xmlns:a16="http://schemas.microsoft.com/office/drawing/2014/main" id="{FBF03964-4CF3-BEC3-C89F-0461200190D6}"/>
            </a:ext>
          </a:extLst>
        </xdr:cNvPr>
        <xdr:cNvSpPr txBox="1"/>
      </xdr:nvSpPr>
      <xdr:spPr>
        <a:xfrm>
          <a:off x="8021" y="385009"/>
          <a:ext cx="1981200" cy="26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Total</a:t>
          </a:r>
          <a:r>
            <a:rPr lang="en-IN" sz="1050">
              <a:solidFill>
                <a:schemeClr val="accent5">
                  <a:lumMod val="20000"/>
                  <a:lumOff val="80000"/>
                </a:schemeClr>
              </a:solidFill>
            </a:rPr>
            <a:t> </a:t>
          </a: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Orders</a:t>
          </a:r>
        </a:p>
      </xdr:txBody>
    </xdr:sp>
    <xdr:clientData/>
  </xdr:twoCellAnchor>
  <xdr:twoCellAnchor>
    <xdr:from>
      <xdr:col>0</xdr:col>
      <xdr:colOff>8021</xdr:colOff>
      <xdr:row>6</xdr:row>
      <xdr:rowOff>8023</xdr:rowOff>
    </xdr:from>
    <xdr:to>
      <xdr:col>2</xdr:col>
      <xdr:colOff>224588</xdr:colOff>
      <xdr:row>8</xdr:row>
      <xdr:rowOff>16043</xdr:rowOff>
    </xdr:to>
    <xdr:sp macro="" textlink="Sheet9!A4">
      <xdr:nvSpPr>
        <xdr:cNvPr id="22" name="TextBox 21">
          <a:extLst>
            <a:ext uri="{FF2B5EF4-FFF2-40B4-BE49-F238E27FC236}">
              <a16:creationId xmlns:a16="http://schemas.microsoft.com/office/drawing/2014/main" id="{41FD82FC-E08E-4D87-8043-66E849BE7064}"/>
            </a:ext>
          </a:extLst>
        </xdr:cNvPr>
        <xdr:cNvSpPr txBox="1"/>
      </xdr:nvSpPr>
      <xdr:spPr>
        <a:xfrm>
          <a:off x="8021" y="1114928"/>
          <a:ext cx="1973178" cy="37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54D9EC4-F555-4B8E-A9D2-1A57DC58E505}"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lgn="ctr"/>
            <a:t>11,997</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16042</xdr:colOff>
      <xdr:row>4</xdr:row>
      <xdr:rowOff>160421</xdr:rowOff>
    </xdr:from>
    <xdr:to>
      <xdr:col>3</xdr:col>
      <xdr:colOff>8021</xdr:colOff>
      <xdr:row>6</xdr:row>
      <xdr:rowOff>56148</xdr:rowOff>
    </xdr:to>
    <xdr:sp macro="" textlink="">
      <xdr:nvSpPr>
        <xdr:cNvPr id="23" name="TextBox 22">
          <a:extLst>
            <a:ext uri="{FF2B5EF4-FFF2-40B4-BE49-F238E27FC236}">
              <a16:creationId xmlns:a16="http://schemas.microsoft.com/office/drawing/2014/main" id="{38EF3901-4BB1-457A-AFFC-0A08014FB9D9}"/>
            </a:ext>
          </a:extLst>
        </xdr:cNvPr>
        <xdr:cNvSpPr txBox="1"/>
      </xdr:nvSpPr>
      <xdr:spPr>
        <a:xfrm>
          <a:off x="16042" y="898358"/>
          <a:ext cx="1981200" cy="26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Total</a:t>
          </a:r>
          <a:r>
            <a:rPr lang="en-IN" sz="1050">
              <a:solidFill>
                <a:schemeClr val="accent5">
                  <a:lumMod val="20000"/>
                  <a:lumOff val="80000"/>
                </a:schemeClr>
              </a:solidFill>
            </a:rPr>
            <a:t> </a:t>
          </a: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Quantity</a:t>
          </a:r>
        </a:p>
      </xdr:txBody>
    </xdr:sp>
    <xdr:clientData/>
  </xdr:twoCellAnchor>
  <xdr:twoCellAnchor>
    <xdr:from>
      <xdr:col>0</xdr:col>
      <xdr:colOff>0</xdr:colOff>
      <xdr:row>9</xdr:row>
      <xdr:rowOff>56149</xdr:rowOff>
    </xdr:from>
    <xdr:to>
      <xdr:col>2</xdr:col>
      <xdr:colOff>216567</xdr:colOff>
      <xdr:row>11</xdr:row>
      <xdr:rowOff>64170</xdr:rowOff>
    </xdr:to>
    <xdr:sp macro="" textlink="Sheet9!D4">
      <xdr:nvSpPr>
        <xdr:cNvPr id="24" name="TextBox 23">
          <a:extLst>
            <a:ext uri="{FF2B5EF4-FFF2-40B4-BE49-F238E27FC236}">
              <a16:creationId xmlns:a16="http://schemas.microsoft.com/office/drawing/2014/main" id="{C4199C2C-32A7-4A4F-9903-0EE958F11211}"/>
            </a:ext>
          </a:extLst>
        </xdr:cNvPr>
        <xdr:cNvSpPr txBox="1"/>
      </xdr:nvSpPr>
      <xdr:spPr>
        <a:xfrm>
          <a:off x="0" y="1716507"/>
          <a:ext cx="1973178" cy="37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EC74961-F425-4B36-8A51-B933D39D5F7F}" type="TxLink">
            <a:rPr lang="en-US" sz="1800" b="1" i="0" u="none" strike="noStrike">
              <a:gradFill flip="none" rotWithShape="1">
                <a:gsLst>
                  <a:gs pos="12000">
                    <a:schemeClr val="accent4">
                      <a:lumMod val="67000"/>
                    </a:schemeClr>
                  </a:gs>
                  <a:gs pos="32000">
                    <a:schemeClr val="accent4">
                      <a:lumMod val="97000"/>
                      <a:lumOff val="3000"/>
                    </a:schemeClr>
                  </a:gs>
                  <a:gs pos="63000">
                    <a:schemeClr val="accent4">
                      <a:lumMod val="60000"/>
                      <a:lumOff val="40000"/>
                    </a:schemeClr>
                  </a:gs>
                </a:gsLst>
                <a:lin ang="16200000" scaled="1"/>
                <a:tileRect/>
              </a:gradFill>
              <a:latin typeface="Aptos Narrow"/>
              <a:ea typeface="+mn-ea"/>
              <a:cs typeface="+mn-cs"/>
            </a:rPr>
            <a:pPr marL="0" indent="0" algn="ctr"/>
            <a:t>$6,49,020</a:t>
          </a:fld>
          <a:endParaRPr lang="en-IN" sz="1800" b="1" i="0" u="none" strike="noStrike">
            <a:gradFill flip="none" rotWithShape="1">
              <a:gsLst>
                <a:gs pos="12000">
                  <a:schemeClr val="accent4">
                    <a:lumMod val="67000"/>
                  </a:schemeClr>
                </a:gs>
                <a:gs pos="32000">
                  <a:schemeClr val="accent4">
                    <a:lumMod val="97000"/>
                    <a:lumOff val="3000"/>
                  </a:schemeClr>
                </a:gs>
                <a:gs pos="63000">
                  <a:schemeClr val="accent4">
                    <a:lumMod val="60000"/>
                    <a:lumOff val="40000"/>
                  </a:schemeClr>
                </a:gs>
              </a:gsLst>
              <a:lin ang="16200000" scaled="1"/>
              <a:tileRect/>
            </a:gradFill>
            <a:latin typeface="Aptos Narrow"/>
            <a:ea typeface="+mn-ea"/>
            <a:cs typeface="+mn-cs"/>
          </a:endParaRPr>
        </a:p>
      </xdr:txBody>
    </xdr:sp>
    <xdr:clientData/>
  </xdr:twoCellAnchor>
  <xdr:twoCellAnchor>
    <xdr:from>
      <xdr:col>0</xdr:col>
      <xdr:colOff>16042</xdr:colOff>
      <xdr:row>7</xdr:row>
      <xdr:rowOff>168442</xdr:rowOff>
    </xdr:from>
    <xdr:to>
      <xdr:col>3</xdr:col>
      <xdr:colOff>8021</xdr:colOff>
      <xdr:row>9</xdr:row>
      <xdr:rowOff>64168</xdr:rowOff>
    </xdr:to>
    <xdr:sp macro="" textlink="">
      <xdr:nvSpPr>
        <xdr:cNvPr id="25" name="TextBox 24">
          <a:extLst>
            <a:ext uri="{FF2B5EF4-FFF2-40B4-BE49-F238E27FC236}">
              <a16:creationId xmlns:a16="http://schemas.microsoft.com/office/drawing/2014/main" id="{559D222D-B396-414F-8FDB-B5D5344B2A14}"/>
            </a:ext>
          </a:extLst>
        </xdr:cNvPr>
        <xdr:cNvSpPr txBox="1"/>
      </xdr:nvSpPr>
      <xdr:spPr>
        <a:xfrm>
          <a:off x="16042" y="1459831"/>
          <a:ext cx="1981200" cy="26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Total</a:t>
          </a:r>
          <a:r>
            <a:rPr lang="en-IN" sz="1050">
              <a:solidFill>
                <a:schemeClr val="accent5">
                  <a:lumMod val="20000"/>
                  <a:lumOff val="80000"/>
                </a:schemeClr>
              </a:solidFill>
            </a:rPr>
            <a:t> </a:t>
          </a: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Sum</a:t>
          </a:r>
        </a:p>
      </xdr:txBody>
    </xdr:sp>
    <xdr:clientData/>
  </xdr:twoCellAnchor>
  <xdr:twoCellAnchor>
    <xdr:from>
      <xdr:col>0</xdr:col>
      <xdr:colOff>0</xdr:colOff>
      <xdr:row>12</xdr:row>
      <xdr:rowOff>64170</xdr:rowOff>
    </xdr:from>
    <xdr:to>
      <xdr:col>2</xdr:col>
      <xdr:colOff>216567</xdr:colOff>
      <xdr:row>14</xdr:row>
      <xdr:rowOff>72191</xdr:rowOff>
    </xdr:to>
    <xdr:sp macro="" textlink="Sheet9!E4">
      <xdr:nvSpPr>
        <xdr:cNvPr id="26" name="TextBox 25">
          <a:extLst>
            <a:ext uri="{FF2B5EF4-FFF2-40B4-BE49-F238E27FC236}">
              <a16:creationId xmlns:a16="http://schemas.microsoft.com/office/drawing/2014/main" id="{ADA5E913-9E4D-4694-82F4-9437E2FC3F1C}"/>
            </a:ext>
          </a:extLst>
        </xdr:cNvPr>
        <xdr:cNvSpPr txBox="1"/>
      </xdr:nvSpPr>
      <xdr:spPr>
        <a:xfrm>
          <a:off x="0" y="2277981"/>
          <a:ext cx="1973178" cy="37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D01B4D0-CBEC-47F9-B40B-CDF3754902D9}"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lgn="ctr"/>
            <a:t>4.0</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8021</xdr:colOff>
      <xdr:row>11</xdr:row>
      <xdr:rowOff>24063</xdr:rowOff>
    </xdr:from>
    <xdr:to>
      <xdr:col>3</xdr:col>
      <xdr:colOff>0</xdr:colOff>
      <xdr:row>12</xdr:row>
      <xdr:rowOff>104273</xdr:rowOff>
    </xdr:to>
    <xdr:sp macro="" textlink="">
      <xdr:nvSpPr>
        <xdr:cNvPr id="27" name="TextBox 26">
          <a:extLst>
            <a:ext uri="{FF2B5EF4-FFF2-40B4-BE49-F238E27FC236}">
              <a16:creationId xmlns:a16="http://schemas.microsoft.com/office/drawing/2014/main" id="{38C89B45-D000-413C-8185-6B847F180AA6}"/>
            </a:ext>
          </a:extLst>
        </xdr:cNvPr>
        <xdr:cNvSpPr txBox="1"/>
      </xdr:nvSpPr>
      <xdr:spPr>
        <a:xfrm>
          <a:off x="8021" y="2053389"/>
          <a:ext cx="1981200" cy="26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Average </a:t>
          </a:r>
          <a:r>
            <a:rPr lang="en-IN" sz="1050">
              <a:solidFill>
                <a:schemeClr val="accent5">
                  <a:lumMod val="20000"/>
                  <a:lumOff val="80000"/>
                </a:schemeClr>
              </a:solidFill>
            </a:rPr>
            <a:t> </a:t>
          </a: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Rating</a:t>
          </a:r>
        </a:p>
      </xdr:txBody>
    </xdr:sp>
    <xdr:clientData/>
  </xdr:twoCellAnchor>
  <xdr:twoCellAnchor>
    <xdr:from>
      <xdr:col>0</xdr:col>
      <xdr:colOff>0</xdr:colOff>
      <xdr:row>14</xdr:row>
      <xdr:rowOff>168444</xdr:rowOff>
    </xdr:from>
    <xdr:to>
      <xdr:col>2</xdr:col>
      <xdr:colOff>216567</xdr:colOff>
      <xdr:row>16</xdr:row>
      <xdr:rowOff>176465</xdr:rowOff>
    </xdr:to>
    <xdr:sp macro="" textlink="Sheet9!C4">
      <xdr:nvSpPr>
        <xdr:cNvPr id="28" name="TextBox 27">
          <a:extLst>
            <a:ext uri="{FF2B5EF4-FFF2-40B4-BE49-F238E27FC236}">
              <a16:creationId xmlns:a16="http://schemas.microsoft.com/office/drawing/2014/main" id="{6CABACE0-520E-4531-817A-9FB534553342}"/>
            </a:ext>
          </a:extLst>
        </xdr:cNvPr>
        <xdr:cNvSpPr txBox="1"/>
      </xdr:nvSpPr>
      <xdr:spPr>
        <a:xfrm>
          <a:off x="0" y="2751223"/>
          <a:ext cx="1973178" cy="37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69CD71-83A3-4E3B-8DBF-63CF5B4611DF}"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lgn="ctr"/>
            <a:t>2.3</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16042</xdr:colOff>
      <xdr:row>13</xdr:row>
      <xdr:rowOff>136357</xdr:rowOff>
    </xdr:from>
    <xdr:to>
      <xdr:col>3</xdr:col>
      <xdr:colOff>8021</xdr:colOff>
      <xdr:row>15</xdr:row>
      <xdr:rowOff>32084</xdr:rowOff>
    </xdr:to>
    <xdr:sp macro="" textlink="">
      <xdr:nvSpPr>
        <xdr:cNvPr id="29" name="TextBox 28">
          <a:extLst>
            <a:ext uri="{FF2B5EF4-FFF2-40B4-BE49-F238E27FC236}">
              <a16:creationId xmlns:a16="http://schemas.microsoft.com/office/drawing/2014/main" id="{EBAAA7CA-E479-4C14-8407-5B53F7B10281}"/>
            </a:ext>
          </a:extLst>
        </xdr:cNvPr>
        <xdr:cNvSpPr txBox="1"/>
      </xdr:nvSpPr>
      <xdr:spPr>
        <a:xfrm>
          <a:off x="16042" y="2534652"/>
          <a:ext cx="1981200" cy="26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Average</a:t>
          </a:r>
          <a:r>
            <a:rPr lang="en-IN" sz="105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days to delivery</a:t>
          </a:r>
          <a:endParaRPr lang="en-IN" sz="1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3</xdr:col>
      <xdr:colOff>120316</xdr:colOff>
      <xdr:row>0</xdr:row>
      <xdr:rowOff>176462</xdr:rowOff>
    </xdr:from>
    <xdr:to>
      <xdr:col>9</xdr:col>
      <xdr:colOff>250902</xdr:colOff>
      <xdr:row>15</xdr:row>
      <xdr:rowOff>176561</xdr:rowOff>
    </xdr:to>
    <xdr:graphicFrame macro="">
      <xdr:nvGraphicFramePr>
        <xdr:cNvPr id="30" name="Chart 29">
          <a:extLst>
            <a:ext uri="{FF2B5EF4-FFF2-40B4-BE49-F238E27FC236}">
              <a16:creationId xmlns:a16="http://schemas.microsoft.com/office/drawing/2014/main" id="{145FF759-C2D9-4E40-97BC-3F1661550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104275</xdr:colOff>
      <xdr:row>17</xdr:row>
      <xdr:rowOff>111512</xdr:rowOff>
    </xdr:from>
    <xdr:to>
      <xdr:col>8</xdr:col>
      <xdr:colOff>408878</xdr:colOff>
      <xdr:row>37</xdr:row>
      <xdr:rowOff>74341</xdr:rowOff>
    </xdr:to>
    <xdr:graphicFrame macro="">
      <xdr:nvGraphicFramePr>
        <xdr:cNvPr id="34" name="Chart 33">
          <a:extLst>
            <a:ext uri="{FF2B5EF4-FFF2-40B4-BE49-F238E27FC236}">
              <a16:creationId xmlns:a16="http://schemas.microsoft.com/office/drawing/2014/main" id="{FA7C7D48-2CEA-4519-B3BB-CB679A50A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288072</xdr:colOff>
      <xdr:row>0</xdr:row>
      <xdr:rowOff>101731</xdr:rowOff>
    </xdr:from>
    <xdr:to>
      <xdr:col>29</xdr:col>
      <xdr:colOff>111512</xdr:colOff>
      <xdr:row>37</xdr:row>
      <xdr:rowOff>111513</xdr:rowOff>
    </xdr:to>
    <xdr:graphicFrame macro="">
      <xdr:nvGraphicFramePr>
        <xdr:cNvPr id="35" name="Chart 34">
          <a:extLst>
            <a:ext uri="{FF2B5EF4-FFF2-40B4-BE49-F238E27FC236}">
              <a16:creationId xmlns:a16="http://schemas.microsoft.com/office/drawing/2014/main" id="{7F3B8501-22C1-4275-9BA2-36B4029A5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299617</xdr:colOff>
      <xdr:row>0</xdr:row>
      <xdr:rowOff>102219</xdr:rowOff>
    </xdr:from>
    <xdr:to>
      <xdr:col>22</xdr:col>
      <xdr:colOff>102220</xdr:colOff>
      <xdr:row>16</xdr:row>
      <xdr:rowOff>27877</xdr:rowOff>
    </xdr:to>
    <xdr:graphicFrame macro="">
      <xdr:nvGraphicFramePr>
        <xdr:cNvPr id="36" name="Chart 35">
          <a:extLst>
            <a:ext uri="{FF2B5EF4-FFF2-40B4-BE49-F238E27FC236}">
              <a16:creationId xmlns:a16="http://schemas.microsoft.com/office/drawing/2014/main" id="{DC007483-C995-481D-B222-9009BFAE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104080</xdr:colOff>
      <xdr:row>17</xdr:row>
      <xdr:rowOff>83633</xdr:rowOff>
    </xdr:from>
    <xdr:to>
      <xdr:col>22</xdr:col>
      <xdr:colOff>92926</xdr:colOff>
      <xdr:row>37</xdr:row>
      <xdr:rowOff>83633</xdr:rowOff>
    </xdr:to>
    <xdr:graphicFrame macro="">
      <xdr:nvGraphicFramePr>
        <xdr:cNvPr id="4" name="Chart 3">
          <a:extLst>
            <a:ext uri="{FF2B5EF4-FFF2-40B4-BE49-F238E27FC236}">
              <a16:creationId xmlns:a16="http://schemas.microsoft.com/office/drawing/2014/main" id="{379E660B-6C1C-44FA-BE1F-48984883B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511098</xdr:colOff>
      <xdr:row>17</xdr:row>
      <xdr:rowOff>92927</xdr:rowOff>
    </xdr:from>
    <xdr:to>
      <xdr:col>14</xdr:col>
      <xdr:colOff>566854</xdr:colOff>
      <xdr:row>37</xdr:row>
      <xdr:rowOff>55756</xdr:rowOff>
    </xdr:to>
    <xdr:graphicFrame macro="">
      <xdr:nvGraphicFramePr>
        <xdr:cNvPr id="5" name="Chart 4">
          <a:extLst>
            <a:ext uri="{FF2B5EF4-FFF2-40B4-BE49-F238E27FC236}">
              <a16:creationId xmlns:a16="http://schemas.microsoft.com/office/drawing/2014/main" id="{E7583613-C369-446B-A642-FD5CEB401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343829</xdr:colOff>
      <xdr:row>0</xdr:row>
      <xdr:rowOff>148682</xdr:rowOff>
    </xdr:from>
    <xdr:to>
      <xdr:col>16</xdr:col>
      <xdr:colOff>102220</xdr:colOff>
      <xdr:row>16</xdr:row>
      <xdr:rowOff>46462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F5BD74F-C5E6-43DF-B9EC-0270F4A0FA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601629" y="148682"/>
              <a:ext cx="4025591" cy="2823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72192</xdr:colOff>
      <xdr:row>17</xdr:row>
      <xdr:rowOff>8020</xdr:rowOff>
    </xdr:from>
    <xdr:to>
      <xdr:col>2</xdr:col>
      <xdr:colOff>144381</xdr:colOff>
      <xdr:row>26</xdr:row>
      <xdr:rowOff>152400</xdr:rowOff>
    </xdr:to>
    <mc:AlternateContent xmlns:mc="http://schemas.openxmlformats.org/markup-compatibility/2006" xmlns:a14="http://schemas.microsoft.com/office/drawing/2010/main">
      <mc:Choice Requires="a14">
        <xdr:graphicFrame macro="">
          <xdr:nvGraphicFramePr>
            <xdr:cNvPr id="11" name="Order Mode 1">
              <a:extLst>
                <a:ext uri="{FF2B5EF4-FFF2-40B4-BE49-F238E27FC236}">
                  <a16:creationId xmlns:a16="http://schemas.microsoft.com/office/drawing/2014/main" id="{AA20F177-5C7D-4359-9B2C-E30D389992D1}"/>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72192" y="3167532"/>
              <a:ext cx="1828506" cy="1817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73071</xdr:colOff>
      <xdr:row>27</xdr:row>
      <xdr:rowOff>120806</xdr:rowOff>
    </xdr:from>
    <xdr:to>
      <xdr:col>2</xdr:col>
      <xdr:colOff>145554</xdr:colOff>
      <xdr:row>36</xdr:row>
      <xdr:rowOff>55757</xdr:rowOff>
    </xdr:to>
    <mc:AlternateContent xmlns:mc="http://schemas.openxmlformats.org/markup-compatibility/2006" xmlns:a14="http://schemas.microsoft.com/office/drawing/2010/main">
      <mc:Choice Requires="a14">
        <xdr:graphicFrame macro="">
          <xdr:nvGraphicFramePr>
            <xdr:cNvPr id="12" name="Customer Gender 1" descr="Unknown&#10;">
              <a:extLst>
                <a:ext uri="{FF2B5EF4-FFF2-40B4-BE49-F238E27FC236}">
                  <a16:creationId xmlns:a16="http://schemas.microsoft.com/office/drawing/2014/main" id="{B0F1DB6E-6D08-444C-BD96-925725CA6CB6}"/>
                </a:ext>
              </a:extLst>
            </xdr:cNvPr>
            <xdr:cNvGraphicFramePr/>
          </xdr:nvGraphicFramePr>
          <xdr:xfrm>
            <a:off x="0" y="0"/>
            <a:ext cx="0" cy="0"/>
          </xdr:xfrm>
          <a:graphic>
            <a:graphicData uri="http://schemas.microsoft.com/office/drawing/2010/slicer">
              <sle:slicer xmlns:sle="http://schemas.microsoft.com/office/drawing/2010/slicer" name="Customer Gender 1"/>
            </a:graphicData>
          </a:graphic>
        </xdr:graphicFrame>
      </mc:Choice>
      <mc:Fallback xmlns="">
        <xdr:sp macro="" textlink="">
          <xdr:nvSpPr>
            <xdr:cNvPr id="0" name=""/>
            <xdr:cNvSpPr>
              <a:spLocks noTextEdit="1"/>
            </xdr:cNvSpPr>
          </xdr:nvSpPr>
          <xdr:spPr>
            <a:xfrm>
              <a:off x="73071" y="5138855"/>
              <a:ext cx="1828800" cy="1607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43" refreshedDate="45969.839012847224" createdVersion="8" refreshedVersion="8" minRefreshableVersion="3" recordCount="2400" xr:uid="{0ABDCB91-AA21-4577-A962-260CDBD75467}">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7"/>
          <x v="7"/>
          <x v="7"/>
          <x v="6"/>
          <x v="7"/>
          <x v="6"/>
          <x v="6"/>
          <x v="7"/>
          <x v="6"/>
          <x v="6"/>
          <x v="6"/>
          <x v="7"/>
          <x v="7"/>
          <x v="7"/>
          <x v="7"/>
          <x v="7"/>
          <x v="6"/>
          <x v="7"/>
          <x v="7"/>
          <x v="7"/>
          <x v="7"/>
          <x v="7"/>
          <x v="6"/>
          <x v="7"/>
          <x v="7"/>
          <x v="7"/>
        </discretePr>
        <groupItems count="8">
          <n v="1"/>
          <n v="2"/>
          <n v="3"/>
          <n v="5"/>
          <n v="4"/>
          <s v="Group1"/>
          <s v="Group2"/>
          <s v="Group3"/>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s>
  <extLst>
    <ext xmlns:x14="http://schemas.microsoft.com/office/spreadsheetml/2009/9/main" uri="{725AE2AE-9491-48be-B2B4-4EB974FC3084}">
      <x14:pivotCacheDefinition pivotCacheId="1117510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d v="2025-01-01T00:00:00"/>
    <x v="0"/>
    <x v="0"/>
    <x v="0"/>
    <x v="0"/>
    <s v="California"/>
    <x v="0"/>
    <x v="0"/>
    <x v="0"/>
    <x v="0"/>
  </r>
  <r>
    <x v="1"/>
    <x v="1"/>
    <x v="1"/>
    <n v="30.6"/>
    <x v="1"/>
    <d v="2025-01-01T00:00:00"/>
    <x v="1"/>
    <x v="1"/>
    <x v="0"/>
    <x v="0"/>
    <s v="California"/>
    <x v="1"/>
    <x v="1"/>
    <x v="0"/>
    <x v="1"/>
  </r>
  <r>
    <x v="2"/>
    <x v="2"/>
    <x v="2"/>
    <n v="109.4"/>
    <x v="2"/>
    <d v="2025-01-01T00:00:00"/>
    <x v="2"/>
    <x v="2"/>
    <x v="0"/>
    <x v="1"/>
    <s v="California"/>
    <x v="2"/>
    <x v="2"/>
    <x v="0"/>
    <x v="2"/>
  </r>
  <r>
    <x v="3"/>
    <x v="3"/>
    <x v="3"/>
    <n v="37.700000000000003"/>
    <x v="3"/>
    <d v="2025-01-01T00:00:00"/>
    <x v="3"/>
    <x v="2"/>
    <x v="0"/>
    <x v="0"/>
    <s v="California"/>
    <x v="2"/>
    <x v="3"/>
    <x v="0"/>
    <x v="2"/>
  </r>
  <r>
    <x v="4"/>
    <x v="4"/>
    <x v="2"/>
    <n v="56.7"/>
    <x v="4"/>
    <d v="2025-01-01T00:00:00"/>
    <x v="2"/>
    <x v="2"/>
    <x v="0"/>
    <x v="2"/>
    <s v="California"/>
    <x v="3"/>
    <x v="2"/>
    <x v="0"/>
    <x v="2"/>
  </r>
  <r>
    <x v="5"/>
    <x v="1"/>
    <x v="4"/>
    <n v="83.5"/>
    <x v="5"/>
    <d v="2025-01-01T00:00:00"/>
    <x v="2"/>
    <x v="1"/>
    <x v="1"/>
    <x v="0"/>
    <s v="California"/>
    <x v="3"/>
    <x v="2"/>
    <x v="0"/>
    <x v="1"/>
  </r>
  <r>
    <x v="6"/>
    <x v="5"/>
    <x v="0"/>
    <n v="55.3"/>
    <x v="6"/>
    <d v="2025-01-01T00:00:00"/>
    <x v="3"/>
    <x v="2"/>
    <x v="0"/>
    <x v="0"/>
    <s v="California"/>
    <x v="3"/>
    <x v="3"/>
    <x v="0"/>
    <x v="2"/>
  </r>
  <r>
    <x v="7"/>
    <x v="6"/>
    <x v="1"/>
    <n v="40.299999999999997"/>
    <x v="7"/>
    <d v="2025-01-01T00:00:00"/>
    <x v="3"/>
    <x v="1"/>
    <x v="2"/>
    <x v="2"/>
    <s v="California"/>
    <x v="3"/>
    <x v="3"/>
    <x v="0"/>
    <x v="1"/>
  </r>
  <r>
    <x v="8"/>
    <x v="7"/>
    <x v="5"/>
    <n v="35.700000000000003"/>
    <x v="8"/>
    <d v="2025-01-01T00:00:00"/>
    <x v="3"/>
    <x v="2"/>
    <x v="0"/>
    <x v="0"/>
    <s v="California"/>
    <x v="3"/>
    <x v="3"/>
    <x v="0"/>
    <x v="2"/>
  </r>
  <r>
    <x v="9"/>
    <x v="8"/>
    <x v="3"/>
    <n v="22.4"/>
    <x v="9"/>
    <d v="2025-01-01T00:00:00"/>
    <x v="2"/>
    <x v="1"/>
    <x v="0"/>
    <x v="1"/>
    <s v="California"/>
    <x v="3"/>
    <x v="2"/>
    <x v="0"/>
    <x v="1"/>
  </r>
  <r>
    <x v="10"/>
    <x v="9"/>
    <x v="1"/>
    <n v="54.4"/>
    <x v="10"/>
    <d v="2025-01-01T00:00:00"/>
    <x v="4"/>
    <x v="2"/>
    <x v="0"/>
    <x v="0"/>
    <s v="California"/>
    <x v="3"/>
    <x v="4"/>
    <x v="0"/>
    <x v="2"/>
  </r>
  <r>
    <x v="11"/>
    <x v="9"/>
    <x v="1"/>
    <n v="49"/>
    <x v="11"/>
    <d v="2025-01-01T00:00:00"/>
    <x v="1"/>
    <x v="2"/>
    <x v="2"/>
    <x v="1"/>
    <s v="California"/>
    <x v="3"/>
    <x v="1"/>
    <x v="0"/>
    <x v="2"/>
  </r>
  <r>
    <x v="12"/>
    <x v="5"/>
    <x v="3"/>
    <n v="118.6"/>
    <x v="12"/>
    <d v="2025-01-01T00:00:00"/>
    <x v="5"/>
    <x v="2"/>
    <x v="1"/>
    <x v="0"/>
    <s v="California"/>
    <x v="4"/>
    <x v="5"/>
    <x v="0"/>
    <x v="2"/>
  </r>
  <r>
    <x v="13"/>
    <x v="6"/>
    <x v="6"/>
    <n v="88.4"/>
    <x v="13"/>
    <d v="2025-01-01T00:00:00"/>
    <x v="6"/>
    <x v="1"/>
    <x v="3"/>
    <x v="0"/>
    <s v="California"/>
    <x v="5"/>
    <x v="6"/>
    <x v="0"/>
    <x v="1"/>
  </r>
  <r>
    <x v="14"/>
    <x v="10"/>
    <x v="0"/>
    <n v="66.7"/>
    <x v="14"/>
    <d v="2025-01-01T00:00:00"/>
    <x v="2"/>
    <x v="1"/>
    <x v="0"/>
    <x v="0"/>
    <s v="California"/>
    <x v="6"/>
    <x v="2"/>
    <x v="0"/>
    <x v="1"/>
  </r>
  <r>
    <x v="15"/>
    <x v="9"/>
    <x v="7"/>
    <n v="30.9"/>
    <x v="15"/>
    <d v="2025-01-01T00:00:00"/>
    <x v="3"/>
    <x v="1"/>
    <x v="1"/>
    <x v="2"/>
    <s v="California"/>
    <x v="6"/>
    <x v="3"/>
    <x v="0"/>
    <x v="1"/>
  </r>
  <r>
    <x v="16"/>
    <x v="4"/>
    <x v="2"/>
    <n v="31.1"/>
    <x v="16"/>
    <d v="2025-01-01T00:00:00"/>
    <x v="3"/>
    <x v="2"/>
    <x v="0"/>
    <x v="1"/>
    <s v="California"/>
    <x v="6"/>
    <x v="3"/>
    <x v="0"/>
    <x v="2"/>
  </r>
  <r>
    <x v="17"/>
    <x v="7"/>
    <x v="2"/>
    <n v="36.6"/>
    <x v="17"/>
    <d v="2025-01-01T00:00:00"/>
    <x v="2"/>
    <x v="2"/>
    <x v="0"/>
    <x v="0"/>
    <s v="California"/>
    <x v="7"/>
    <x v="2"/>
    <x v="0"/>
    <x v="2"/>
  </r>
  <r>
    <x v="18"/>
    <x v="6"/>
    <x v="8"/>
    <n v="51.1"/>
    <x v="18"/>
    <d v="2025-01-01T00:00:00"/>
    <x v="2"/>
    <x v="2"/>
    <x v="2"/>
    <x v="3"/>
    <s v="California"/>
    <x v="7"/>
    <x v="2"/>
    <x v="0"/>
    <x v="2"/>
  </r>
  <r>
    <x v="19"/>
    <x v="9"/>
    <x v="0"/>
    <n v="25.2"/>
    <x v="19"/>
    <d v="2025-01-01T00:00:00"/>
    <x v="3"/>
    <x v="2"/>
    <x v="1"/>
    <x v="2"/>
    <s v="California"/>
    <x v="8"/>
    <x v="3"/>
    <x v="0"/>
    <x v="2"/>
  </r>
  <r>
    <x v="20"/>
    <x v="9"/>
    <x v="9"/>
    <n v="43.8"/>
    <x v="20"/>
    <d v="2025-01-01T00:00:00"/>
    <x v="2"/>
    <x v="2"/>
    <x v="2"/>
    <x v="0"/>
    <s v="California"/>
    <x v="8"/>
    <x v="2"/>
    <x v="0"/>
    <x v="2"/>
  </r>
  <r>
    <x v="21"/>
    <x v="8"/>
    <x v="4"/>
    <n v="46.7"/>
    <x v="21"/>
    <d v="2025-01-01T00:00:00"/>
    <x v="3"/>
    <x v="2"/>
    <x v="1"/>
    <x v="1"/>
    <s v="California"/>
    <x v="8"/>
    <x v="3"/>
    <x v="0"/>
    <x v="2"/>
  </r>
  <r>
    <x v="22"/>
    <x v="3"/>
    <x v="10"/>
    <n v="79.900000000000006"/>
    <x v="22"/>
    <d v="2025-01-01T00:00:00"/>
    <x v="3"/>
    <x v="1"/>
    <x v="0"/>
    <x v="2"/>
    <s v="California"/>
    <x v="8"/>
    <x v="3"/>
    <x v="0"/>
    <x v="1"/>
  </r>
  <r>
    <x v="23"/>
    <x v="11"/>
    <x v="8"/>
    <n v="26.4"/>
    <x v="23"/>
    <d v="2025-01-01T00:00:00"/>
    <x v="3"/>
    <x v="2"/>
    <x v="3"/>
    <x v="0"/>
    <s v="California"/>
    <x v="8"/>
    <x v="3"/>
    <x v="0"/>
    <x v="2"/>
  </r>
  <r>
    <x v="24"/>
    <x v="12"/>
    <x v="8"/>
    <n v="88.8"/>
    <x v="24"/>
    <d v="2025-01-01T00:00:00"/>
    <x v="3"/>
    <x v="2"/>
    <x v="4"/>
    <x v="0"/>
    <s v="California"/>
    <x v="8"/>
    <x v="3"/>
    <x v="0"/>
    <x v="2"/>
  </r>
  <r>
    <x v="25"/>
    <x v="0"/>
    <x v="7"/>
    <n v="17.5"/>
    <x v="25"/>
    <d v="2025-01-01T00:00:00"/>
    <x v="3"/>
    <x v="2"/>
    <x v="2"/>
    <x v="0"/>
    <s v="California"/>
    <x v="9"/>
    <x v="3"/>
    <x v="0"/>
    <x v="2"/>
  </r>
  <r>
    <x v="26"/>
    <x v="1"/>
    <x v="11"/>
    <n v="38.700000000000003"/>
    <x v="26"/>
    <d v="2025-01-01T00:00:00"/>
    <x v="2"/>
    <x v="1"/>
    <x v="1"/>
    <x v="0"/>
    <s v="California"/>
    <x v="10"/>
    <x v="2"/>
    <x v="0"/>
    <x v="1"/>
  </r>
  <r>
    <x v="27"/>
    <x v="13"/>
    <x v="12"/>
    <n v="57.2"/>
    <x v="27"/>
    <d v="2025-01-01T00:00:00"/>
    <x v="1"/>
    <x v="0"/>
    <x v="1"/>
    <x v="2"/>
    <s v="California"/>
    <x v="11"/>
    <x v="1"/>
    <x v="0"/>
    <x v="0"/>
  </r>
  <r>
    <x v="28"/>
    <x v="6"/>
    <x v="9"/>
    <n v="50.9"/>
    <x v="28"/>
    <d v="2025-01-01T00:00:00"/>
    <x v="4"/>
    <x v="0"/>
    <x v="1"/>
    <x v="2"/>
    <s v="California"/>
    <x v="12"/>
    <x v="4"/>
    <x v="0"/>
    <x v="0"/>
  </r>
  <r>
    <x v="29"/>
    <x v="14"/>
    <x v="3"/>
    <n v="41"/>
    <x v="29"/>
    <d v="2025-01-01T00:00:00"/>
    <x v="5"/>
    <x v="2"/>
    <x v="1"/>
    <x v="0"/>
    <s v="California"/>
    <x v="13"/>
    <x v="5"/>
    <x v="0"/>
    <x v="2"/>
  </r>
  <r>
    <x v="30"/>
    <x v="8"/>
    <x v="3"/>
    <n v="19.100000000000001"/>
    <x v="30"/>
    <d v="2025-01-01T00:00:00"/>
    <x v="5"/>
    <x v="1"/>
    <x v="0"/>
    <x v="2"/>
    <s v="California"/>
    <x v="14"/>
    <x v="5"/>
    <x v="0"/>
    <x v="1"/>
  </r>
  <r>
    <x v="31"/>
    <x v="2"/>
    <x v="9"/>
    <n v="166.1"/>
    <x v="31"/>
    <d v="2025-01-01T00:00:00"/>
    <x v="2"/>
    <x v="1"/>
    <x v="0"/>
    <x v="0"/>
    <s v="California"/>
    <x v="15"/>
    <x v="2"/>
    <x v="0"/>
    <x v="1"/>
  </r>
  <r>
    <x v="32"/>
    <x v="4"/>
    <x v="2"/>
    <n v="29.9"/>
    <x v="32"/>
    <d v="2025-01-01T00:00:00"/>
    <x v="3"/>
    <x v="1"/>
    <x v="3"/>
    <x v="0"/>
    <s v="California"/>
    <x v="3"/>
    <x v="3"/>
    <x v="0"/>
    <x v="1"/>
  </r>
  <r>
    <x v="33"/>
    <x v="10"/>
    <x v="13"/>
    <n v="21.7"/>
    <x v="33"/>
    <d v="2025-01-01T00:00:00"/>
    <x v="1"/>
    <x v="3"/>
    <x v="2"/>
    <x v="2"/>
    <s v="California"/>
    <x v="3"/>
    <x v="1"/>
    <x v="0"/>
    <x v="3"/>
  </r>
  <r>
    <x v="34"/>
    <x v="11"/>
    <x v="1"/>
    <n v="32"/>
    <x v="34"/>
    <d v="2025-01-01T00:00:00"/>
    <x v="2"/>
    <x v="1"/>
    <x v="0"/>
    <x v="2"/>
    <s v="California"/>
    <x v="3"/>
    <x v="2"/>
    <x v="0"/>
    <x v="1"/>
  </r>
  <r>
    <x v="35"/>
    <x v="8"/>
    <x v="1"/>
    <n v="15.8"/>
    <x v="35"/>
    <d v="2025-01-01T00:00:00"/>
    <x v="3"/>
    <x v="1"/>
    <x v="4"/>
    <x v="2"/>
    <s v="California"/>
    <x v="3"/>
    <x v="3"/>
    <x v="0"/>
    <x v="1"/>
  </r>
  <r>
    <x v="36"/>
    <x v="2"/>
    <x v="14"/>
    <n v="203.1"/>
    <x v="36"/>
    <d v="2025-01-01T00:00:00"/>
    <x v="5"/>
    <x v="1"/>
    <x v="3"/>
    <x v="1"/>
    <s v="California"/>
    <x v="3"/>
    <x v="5"/>
    <x v="0"/>
    <x v="1"/>
  </r>
  <r>
    <x v="37"/>
    <x v="7"/>
    <x v="15"/>
    <n v="39"/>
    <x v="37"/>
    <d v="2025-01-01T00:00:00"/>
    <x v="4"/>
    <x v="1"/>
    <x v="0"/>
    <x v="2"/>
    <s v="California"/>
    <x v="3"/>
    <x v="4"/>
    <x v="0"/>
    <x v="1"/>
  </r>
  <r>
    <x v="38"/>
    <x v="10"/>
    <x v="0"/>
    <n v="26.5"/>
    <x v="38"/>
    <d v="2025-01-02T00:00:00"/>
    <x v="1"/>
    <x v="1"/>
    <x v="2"/>
    <x v="0"/>
    <s v="California"/>
    <x v="3"/>
    <x v="3"/>
    <x v="0"/>
    <x v="1"/>
  </r>
  <r>
    <x v="39"/>
    <x v="5"/>
    <x v="0"/>
    <n v="43.1"/>
    <x v="39"/>
    <d v="2025-01-02T00:00:00"/>
    <x v="1"/>
    <x v="2"/>
    <x v="2"/>
    <x v="1"/>
    <s v="California"/>
    <x v="3"/>
    <x v="3"/>
    <x v="0"/>
    <x v="2"/>
  </r>
  <r>
    <x v="40"/>
    <x v="1"/>
    <x v="2"/>
    <n v="139"/>
    <x v="40"/>
    <d v="2025-01-02T00:00:00"/>
    <x v="1"/>
    <x v="2"/>
    <x v="4"/>
    <x v="2"/>
    <s v="California"/>
    <x v="3"/>
    <x v="3"/>
    <x v="0"/>
    <x v="2"/>
  </r>
  <r>
    <x v="41"/>
    <x v="12"/>
    <x v="0"/>
    <n v="80.7"/>
    <x v="41"/>
    <d v="2025-01-02T00:00:00"/>
    <x v="1"/>
    <x v="1"/>
    <x v="0"/>
    <x v="2"/>
    <s v="California"/>
    <x v="16"/>
    <x v="3"/>
    <x v="0"/>
    <x v="1"/>
  </r>
  <r>
    <x v="42"/>
    <x v="4"/>
    <x v="1"/>
    <n v="54.5"/>
    <x v="42"/>
    <d v="2025-01-02T00:00:00"/>
    <x v="2"/>
    <x v="1"/>
    <x v="1"/>
    <x v="1"/>
    <s v="California"/>
    <x v="6"/>
    <x v="1"/>
    <x v="0"/>
    <x v="1"/>
  </r>
  <r>
    <x v="43"/>
    <x v="6"/>
    <x v="2"/>
    <n v="68.599999999999994"/>
    <x v="43"/>
    <d v="2025-01-02T00:00:00"/>
    <x v="3"/>
    <x v="2"/>
    <x v="0"/>
    <x v="1"/>
    <s v="California"/>
    <x v="8"/>
    <x v="7"/>
    <x v="0"/>
    <x v="2"/>
  </r>
  <r>
    <x v="44"/>
    <x v="2"/>
    <x v="12"/>
    <n v="135.9"/>
    <x v="44"/>
    <d v="2025-01-02T00:00:00"/>
    <x v="1"/>
    <x v="2"/>
    <x v="2"/>
    <x v="2"/>
    <s v="California"/>
    <x v="8"/>
    <x v="3"/>
    <x v="0"/>
    <x v="2"/>
  </r>
  <r>
    <x v="45"/>
    <x v="2"/>
    <x v="12"/>
    <n v="70.900000000000006"/>
    <x v="45"/>
    <d v="2025-01-02T00:00:00"/>
    <x v="1"/>
    <x v="2"/>
    <x v="0"/>
    <x v="0"/>
    <s v="California"/>
    <x v="17"/>
    <x v="3"/>
    <x v="0"/>
    <x v="2"/>
  </r>
  <r>
    <x v="46"/>
    <x v="1"/>
    <x v="9"/>
    <n v="63.7"/>
    <x v="46"/>
    <d v="2025-01-02T00:00:00"/>
    <x v="1"/>
    <x v="1"/>
    <x v="1"/>
    <x v="1"/>
    <s v="California"/>
    <x v="9"/>
    <x v="3"/>
    <x v="0"/>
    <x v="1"/>
  </r>
  <r>
    <x v="47"/>
    <x v="13"/>
    <x v="0"/>
    <n v="29.7"/>
    <x v="47"/>
    <d v="2025-01-02T00:00:00"/>
    <x v="2"/>
    <x v="2"/>
    <x v="1"/>
    <x v="0"/>
    <s v="California"/>
    <x v="11"/>
    <x v="1"/>
    <x v="0"/>
    <x v="2"/>
  </r>
  <r>
    <x v="48"/>
    <x v="4"/>
    <x v="2"/>
    <n v="26.8"/>
    <x v="48"/>
    <d v="2025-01-02T00:00:00"/>
    <x v="7"/>
    <x v="2"/>
    <x v="1"/>
    <x v="2"/>
    <s v="California"/>
    <x v="11"/>
    <x v="8"/>
    <x v="0"/>
    <x v="2"/>
  </r>
  <r>
    <x v="49"/>
    <x v="14"/>
    <x v="0"/>
    <n v="27"/>
    <x v="49"/>
    <d v="2025-01-02T00:00:00"/>
    <x v="2"/>
    <x v="2"/>
    <x v="0"/>
    <x v="0"/>
    <s v="California"/>
    <x v="18"/>
    <x v="1"/>
    <x v="0"/>
    <x v="2"/>
  </r>
  <r>
    <x v="50"/>
    <x v="8"/>
    <x v="0"/>
    <n v="41.4"/>
    <x v="50"/>
    <d v="2025-01-02T00:00:00"/>
    <x v="1"/>
    <x v="1"/>
    <x v="1"/>
    <x v="2"/>
    <s v="California"/>
    <x v="19"/>
    <x v="3"/>
    <x v="0"/>
    <x v="1"/>
  </r>
  <r>
    <x v="51"/>
    <x v="8"/>
    <x v="1"/>
    <n v="24.3"/>
    <x v="51"/>
    <d v="2025-01-02T00:00:00"/>
    <x v="5"/>
    <x v="2"/>
    <x v="1"/>
    <x v="0"/>
    <s v="California"/>
    <x v="19"/>
    <x v="2"/>
    <x v="0"/>
    <x v="2"/>
  </r>
  <r>
    <x v="52"/>
    <x v="8"/>
    <x v="2"/>
    <n v="41.7"/>
    <x v="52"/>
    <d v="2025-01-02T00:00:00"/>
    <x v="2"/>
    <x v="1"/>
    <x v="0"/>
    <x v="2"/>
    <s v="California"/>
    <x v="20"/>
    <x v="1"/>
    <x v="0"/>
    <x v="1"/>
  </r>
  <r>
    <x v="53"/>
    <x v="0"/>
    <x v="1"/>
    <n v="18"/>
    <x v="53"/>
    <d v="2025-01-02T00:00:00"/>
    <x v="1"/>
    <x v="2"/>
    <x v="0"/>
    <x v="2"/>
    <s v="California"/>
    <x v="21"/>
    <x v="3"/>
    <x v="0"/>
    <x v="2"/>
  </r>
  <r>
    <x v="54"/>
    <x v="7"/>
    <x v="2"/>
    <n v="91.3"/>
    <x v="54"/>
    <d v="2025-01-02T00:00:00"/>
    <x v="5"/>
    <x v="1"/>
    <x v="2"/>
    <x v="2"/>
    <s v="California"/>
    <x v="3"/>
    <x v="2"/>
    <x v="0"/>
    <x v="1"/>
  </r>
  <r>
    <x v="55"/>
    <x v="8"/>
    <x v="8"/>
    <n v="19.3"/>
    <x v="55"/>
    <d v="2025-01-02T00:00:00"/>
    <x v="1"/>
    <x v="1"/>
    <x v="0"/>
    <x v="0"/>
    <s v="California"/>
    <x v="3"/>
    <x v="3"/>
    <x v="0"/>
    <x v="1"/>
  </r>
  <r>
    <x v="56"/>
    <x v="12"/>
    <x v="15"/>
    <n v="63.2"/>
    <x v="56"/>
    <d v="2025-01-02T00:00:00"/>
    <x v="1"/>
    <x v="2"/>
    <x v="0"/>
    <x v="0"/>
    <s v="California"/>
    <x v="3"/>
    <x v="3"/>
    <x v="0"/>
    <x v="2"/>
  </r>
  <r>
    <x v="57"/>
    <x v="10"/>
    <x v="11"/>
    <n v="33.299999999999997"/>
    <x v="57"/>
    <d v="2025-01-03T00:00:00"/>
    <x v="7"/>
    <x v="2"/>
    <x v="0"/>
    <x v="2"/>
    <s v="California"/>
    <x v="3"/>
    <x v="9"/>
    <x v="0"/>
    <x v="2"/>
  </r>
  <r>
    <x v="58"/>
    <x v="7"/>
    <x v="1"/>
    <n v="64.2"/>
    <x v="58"/>
    <d v="2025-01-03T00:00:00"/>
    <x v="2"/>
    <x v="1"/>
    <x v="0"/>
    <x v="2"/>
    <s v="California"/>
    <x v="3"/>
    <x v="3"/>
    <x v="0"/>
    <x v="1"/>
  </r>
  <r>
    <x v="59"/>
    <x v="9"/>
    <x v="2"/>
    <n v="23.1"/>
    <x v="59"/>
    <d v="2025-01-03T00:00:00"/>
    <x v="0"/>
    <x v="2"/>
    <x v="1"/>
    <x v="2"/>
    <s v="California"/>
    <x v="3"/>
    <x v="2"/>
    <x v="0"/>
    <x v="2"/>
  </r>
  <r>
    <x v="60"/>
    <x v="15"/>
    <x v="1"/>
    <n v="71.099999999999994"/>
    <x v="60"/>
    <d v="2025-01-03T00:00:00"/>
    <x v="5"/>
    <x v="2"/>
    <x v="3"/>
    <x v="1"/>
    <s v="California"/>
    <x v="3"/>
    <x v="1"/>
    <x v="0"/>
    <x v="2"/>
  </r>
  <r>
    <x v="61"/>
    <x v="0"/>
    <x v="1"/>
    <n v="11.5"/>
    <x v="61"/>
    <d v="2025-01-03T00:00:00"/>
    <x v="2"/>
    <x v="2"/>
    <x v="0"/>
    <x v="0"/>
    <s v="California"/>
    <x v="3"/>
    <x v="3"/>
    <x v="0"/>
    <x v="2"/>
  </r>
  <r>
    <x v="62"/>
    <x v="15"/>
    <x v="10"/>
    <n v="69.2"/>
    <x v="62"/>
    <d v="2025-01-03T00:00:00"/>
    <x v="6"/>
    <x v="2"/>
    <x v="0"/>
    <x v="0"/>
    <s v="California"/>
    <x v="3"/>
    <x v="0"/>
    <x v="0"/>
    <x v="2"/>
  </r>
  <r>
    <x v="63"/>
    <x v="0"/>
    <x v="0"/>
    <n v="26.8"/>
    <x v="63"/>
    <d v="2025-01-03T00:00:00"/>
    <x v="2"/>
    <x v="1"/>
    <x v="2"/>
    <x v="4"/>
    <s v="California"/>
    <x v="3"/>
    <x v="3"/>
    <x v="0"/>
    <x v="1"/>
  </r>
  <r>
    <x v="64"/>
    <x v="16"/>
    <x v="2"/>
    <n v="31.2"/>
    <x v="64"/>
    <d v="2025-01-03T00:00:00"/>
    <x v="0"/>
    <x v="2"/>
    <x v="0"/>
    <x v="0"/>
    <s v="California"/>
    <x v="3"/>
    <x v="2"/>
    <x v="0"/>
    <x v="2"/>
  </r>
  <r>
    <x v="65"/>
    <x v="12"/>
    <x v="1"/>
    <n v="113.2"/>
    <x v="65"/>
    <d v="2025-01-03T00:00:00"/>
    <x v="2"/>
    <x v="2"/>
    <x v="4"/>
    <x v="0"/>
    <s v="California"/>
    <x v="3"/>
    <x v="3"/>
    <x v="0"/>
    <x v="2"/>
  </r>
  <r>
    <x v="66"/>
    <x v="10"/>
    <x v="8"/>
    <n v="21"/>
    <x v="66"/>
    <d v="2025-01-03T00:00:00"/>
    <x v="2"/>
    <x v="1"/>
    <x v="0"/>
    <x v="0"/>
    <s v="California"/>
    <x v="6"/>
    <x v="3"/>
    <x v="0"/>
    <x v="1"/>
  </r>
  <r>
    <x v="67"/>
    <x v="1"/>
    <x v="1"/>
    <n v="89.1"/>
    <x v="67"/>
    <d v="2025-01-03T00:00:00"/>
    <x v="2"/>
    <x v="2"/>
    <x v="2"/>
    <x v="2"/>
    <s v="California"/>
    <x v="6"/>
    <x v="3"/>
    <x v="0"/>
    <x v="2"/>
  </r>
  <r>
    <x v="68"/>
    <x v="1"/>
    <x v="0"/>
    <n v="97.7"/>
    <x v="68"/>
    <d v="2025-01-03T00:00:00"/>
    <x v="5"/>
    <x v="2"/>
    <x v="0"/>
    <x v="1"/>
    <s v="California"/>
    <x v="6"/>
    <x v="1"/>
    <x v="0"/>
    <x v="2"/>
  </r>
  <r>
    <x v="69"/>
    <x v="15"/>
    <x v="12"/>
    <n v="97.7"/>
    <x v="69"/>
    <d v="2025-01-03T00:00:00"/>
    <x v="5"/>
    <x v="1"/>
    <x v="3"/>
    <x v="0"/>
    <s v="California"/>
    <x v="6"/>
    <x v="1"/>
    <x v="0"/>
    <x v="1"/>
  </r>
  <r>
    <x v="70"/>
    <x v="17"/>
    <x v="2"/>
    <n v="47.4"/>
    <x v="60"/>
    <d v="2025-01-03T00:00:00"/>
    <x v="0"/>
    <x v="1"/>
    <x v="3"/>
    <x v="2"/>
    <s v="California"/>
    <x v="8"/>
    <x v="2"/>
    <x v="0"/>
    <x v="1"/>
  </r>
  <r>
    <x v="71"/>
    <x v="7"/>
    <x v="0"/>
    <n v="89.6"/>
    <x v="70"/>
    <d v="2025-01-03T00:00:00"/>
    <x v="0"/>
    <x v="2"/>
    <x v="0"/>
    <x v="2"/>
    <s v="California"/>
    <x v="8"/>
    <x v="2"/>
    <x v="0"/>
    <x v="2"/>
  </r>
  <r>
    <x v="72"/>
    <x v="10"/>
    <x v="16"/>
    <n v="28.4"/>
    <x v="71"/>
    <d v="2025-01-03T00:00:00"/>
    <x v="0"/>
    <x v="2"/>
    <x v="3"/>
    <x v="2"/>
    <s v="California"/>
    <x v="17"/>
    <x v="2"/>
    <x v="0"/>
    <x v="2"/>
  </r>
  <r>
    <x v="73"/>
    <x v="0"/>
    <x v="1"/>
    <n v="17.899999999999999"/>
    <x v="72"/>
    <d v="2025-01-03T00:00:00"/>
    <x v="2"/>
    <x v="2"/>
    <x v="0"/>
    <x v="2"/>
    <s v="California"/>
    <x v="9"/>
    <x v="3"/>
    <x v="0"/>
    <x v="2"/>
  </r>
  <r>
    <x v="74"/>
    <x v="9"/>
    <x v="1"/>
    <n v="48.4"/>
    <x v="73"/>
    <d v="2025-01-03T00:00:00"/>
    <x v="0"/>
    <x v="1"/>
    <x v="1"/>
    <x v="0"/>
    <s v="California"/>
    <x v="9"/>
    <x v="2"/>
    <x v="0"/>
    <x v="1"/>
  </r>
  <r>
    <x v="75"/>
    <x v="12"/>
    <x v="12"/>
    <n v="44.4"/>
    <x v="74"/>
    <d v="2025-01-03T00:00:00"/>
    <x v="2"/>
    <x v="3"/>
    <x v="1"/>
    <x v="1"/>
    <s v="California"/>
    <x v="11"/>
    <x v="3"/>
    <x v="0"/>
    <x v="3"/>
  </r>
  <r>
    <x v="76"/>
    <x v="2"/>
    <x v="8"/>
    <n v="103.7"/>
    <x v="75"/>
    <d v="2025-01-03T00:00:00"/>
    <x v="2"/>
    <x v="2"/>
    <x v="0"/>
    <x v="1"/>
    <s v="California"/>
    <x v="19"/>
    <x v="3"/>
    <x v="0"/>
    <x v="2"/>
  </r>
  <r>
    <x v="77"/>
    <x v="5"/>
    <x v="12"/>
    <n v="58.6"/>
    <x v="76"/>
    <d v="2025-01-03T00:00:00"/>
    <x v="5"/>
    <x v="1"/>
    <x v="3"/>
    <x v="0"/>
    <s v="California"/>
    <x v="19"/>
    <x v="1"/>
    <x v="0"/>
    <x v="1"/>
  </r>
  <r>
    <x v="78"/>
    <x v="9"/>
    <x v="12"/>
    <n v="54.8"/>
    <x v="77"/>
    <d v="2025-01-03T00:00:00"/>
    <x v="4"/>
    <x v="2"/>
    <x v="2"/>
    <x v="1"/>
    <s v="California"/>
    <x v="13"/>
    <x v="5"/>
    <x v="0"/>
    <x v="2"/>
  </r>
  <r>
    <x v="79"/>
    <x v="12"/>
    <x v="2"/>
    <n v="78.8"/>
    <x v="78"/>
    <d v="2025-01-03T00:00:00"/>
    <x v="8"/>
    <x v="2"/>
    <x v="4"/>
    <x v="1"/>
    <s v="California"/>
    <x v="21"/>
    <x v="4"/>
    <x v="0"/>
    <x v="2"/>
  </r>
  <r>
    <x v="80"/>
    <x v="18"/>
    <x v="9"/>
    <n v="36.799999999999997"/>
    <x v="79"/>
    <d v="2025-01-03T00:00:00"/>
    <x v="0"/>
    <x v="1"/>
    <x v="4"/>
    <x v="1"/>
    <s v="California"/>
    <x v="22"/>
    <x v="2"/>
    <x v="0"/>
    <x v="1"/>
  </r>
  <r>
    <x v="81"/>
    <x v="6"/>
    <x v="13"/>
    <n v="50.6"/>
    <x v="80"/>
    <d v="2025-01-03T00:00:00"/>
    <x v="5"/>
    <x v="2"/>
    <x v="3"/>
    <x v="0"/>
    <s v="California"/>
    <x v="3"/>
    <x v="1"/>
    <x v="0"/>
    <x v="2"/>
  </r>
  <r>
    <x v="82"/>
    <x v="15"/>
    <x v="2"/>
    <n v="36.799999999999997"/>
    <x v="81"/>
    <d v="2025-01-03T00:00:00"/>
    <x v="1"/>
    <x v="1"/>
    <x v="2"/>
    <x v="1"/>
    <s v="California"/>
    <x v="3"/>
    <x v="7"/>
    <x v="0"/>
    <x v="1"/>
  </r>
  <r>
    <x v="83"/>
    <x v="8"/>
    <x v="11"/>
    <n v="41.8"/>
    <x v="82"/>
    <d v="2025-01-04T00:00:00"/>
    <x v="9"/>
    <x v="2"/>
    <x v="3"/>
    <x v="0"/>
    <s v="California"/>
    <x v="3"/>
    <x v="4"/>
    <x v="0"/>
    <x v="2"/>
  </r>
  <r>
    <x v="84"/>
    <x v="18"/>
    <x v="0"/>
    <n v="77.3"/>
    <x v="83"/>
    <d v="2025-01-04T00:00:00"/>
    <x v="5"/>
    <x v="1"/>
    <x v="4"/>
    <x v="4"/>
    <s v="California"/>
    <x v="3"/>
    <x v="3"/>
    <x v="0"/>
    <x v="1"/>
  </r>
  <r>
    <x v="85"/>
    <x v="8"/>
    <x v="12"/>
    <n v="19.8"/>
    <x v="84"/>
    <d v="2025-01-04T00:00:00"/>
    <x v="9"/>
    <x v="1"/>
    <x v="1"/>
    <x v="2"/>
    <s v="California"/>
    <x v="3"/>
    <x v="4"/>
    <x v="0"/>
    <x v="1"/>
  </r>
  <r>
    <x v="86"/>
    <x v="13"/>
    <x v="12"/>
    <n v="15.5"/>
    <x v="85"/>
    <d v="2025-01-04T00:00:00"/>
    <x v="5"/>
    <x v="2"/>
    <x v="1"/>
    <x v="2"/>
    <s v="California"/>
    <x v="3"/>
    <x v="3"/>
    <x v="0"/>
    <x v="2"/>
  </r>
  <r>
    <x v="87"/>
    <x v="12"/>
    <x v="0"/>
    <n v="46.8"/>
    <x v="86"/>
    <d v="2025-01-04T00:00:00"/>
    <x v="6"/>
    <x v="1"/>
    <x v="0"/>
    <x v="2"/>
    <s v="California"/>
    <x v="3"/>
    <x v="5"/>
    <x v="0"/>
    <x v="1"/>
  </r>
  <r>
    <x v="88"/>
    <x v="9"/>
    <x v="11"/>
    <n v="28.6"/>
    <x v="87"/>
    <d v="2025-01-04T00:00:00"/>
    <x v="6"/>
    <x v="1"/>
    <x v="0"/>
    <x v="2"/>
    <s v="California"/>
    <x v="3"/>
    <x v="5"/>
    <x v="0"/>
    <x v="1"/>
  </r>
  <r>
    <x v="89"/>
    <x v="2"/>
    <x v="0"/>
    <n v="97.7"/>
    <x v="68"/>
    <d v="2025-01-04T00:00:00"/>
    <x v="4"/>
    <x v="2"/>
    <x v="1"/>
    <x v="0"/>
    <s v="California"/>
    <x v="3"/>
    <x v="2"/>
    <x v="0"/>
    <x v="2"/>
  </r>
  <r>
    <x v="90"/>
    <x v="9"/>
    <x v="9"/>
    <n v="54.7"/>
    <x v="88"/>
    <d v="2025-01-04T00:00:00"/>
    <x v="4"/>
    <x v="0"/>
    <x v="0"/>
    <x v="2"/>
    <s v="California"/>
    <x v="23"/>
    <x v="2"/>
    <x v="0"/>
    <x v="0"/>
  </r>
  <r>
    <x v="91"/>
    <x v="2"/>
    <x v="13"/>
    <n v="130.5"/>
    <x v="89"/>
    <d v="2025-01-04T00:00:00"/>
    <x v="0"/>
    <x v="2"/>
    <x v="0"/>
    <x v="1"/>
    <s v="California"/>
    <x v="23"/>
    <x v="1"/>
    <x v="0"/>
    <x v="2"/>
  </r>
  <r>
    <x v="92"/>
    <x v="11"/>
    <x v="1"/>
    <n v="50.4"/>
    <x v="90"/>
    <d v="2025-01-04T00:00:00"/>
    <x v="0"/>
    <x v="1"/>
    <x v="2"/>
    <x v="2"/>
    <s v="California"/>
    <x v="6"/>
    <x v="1"/>
    <x v="0"/>
    <x v="1"/>
  </r>
  <r>
    <x v="93"/>
    <x v="6"/>
    <x v="15"/>
    <n v="61.5"/>
    <x v="91"/>
    <d v="2025-01-04T00:00:00"/>
    <x v="5"/>
    <x v="0"/>
    <x v="3"/>
    <x v="1"/>
    <s v="California"/>
    <x v="11"/>
    <x v="3"/>
    <x v="0"/>
    <x v="0"/>
  </r>
  <r>
    <x v="94"/>
    <x v="9"/>
    <x v="12"/>
    <n v="30.1"/>
    <x v="92"/>
    <d v="2025-01-04T00:00:00"/>
    <x v="5"/>
    <x v="2"/>
    <x v="0"/>
    <x v="2"/>
    <s v="California"/>
    <x v="21"/>
    <x v="3"/>
    <x v="0"/>
    <x v="2"/>
  </r>
  <r>
    <x v="95"/>
    <x v="2"/>
    <x v="9"/>
    <n v="74.8"/>
    <x v="93"/>
    <d v="2025-01-04T00:00:00"/>
    <x v="5"/>
    <x v="2"/>
    <x v="1"/>
    <x v="0"/>
    <s v="California"/>
    <x v="1"/>
    <x v="3"/>
    <x v="0"/>
    <x v="2"/>
  </r>
  <r>
    <x v="96"/>
    <x v="16"/>
    <x v="2"/>
    <n v="64.900000000000006"/>
    <x v="94"/>
    <d v="2025-01-04T00:00:00"/>
    <x v="7"/>
    <x v="1"/>
    <x v="0"/>
    <x v="0"/>
    <s v="California"/>
    <x v="2"/>
    <x v="6"/>
    <x v="0"/>
    <x v="1"/>
  </r>
  <r>
    <x v="97"/>
    <x v="9"/>
    <x v="1"/>
    <n v="50.5"/>
    <x v="95"/>
    <d v="2025-01-04T00:00:00"/>
    <x v="0"/>
    <x v="1"/>
    <x v="1"/>
    <x v="0"/>
    <s v="California"/>
    <x v="22"/>
    <x v="1"/>
    <x v="0"/>
    <x v="1"/>
  </r>
  <r>
    <x v="98"/>
    <x v="11"/>
    <x v="3"/>
    <n v="63"/>
    <x v="96"/>
    <d v="2025-01-04T00:00:00"/>
    <x v="4"/>
    <x v="1"/>
    <x v="3"/>
    <x v="2"/>
    <s v="California"/>
    <x v="3"/>
    <x v="2"/>
    <x v="0"/>
    <x v="1"/>
  </r>
  <r>
    <x v="99"/>
    <x v="2"/>
    <x v="2"/>
    <n v="93.6"/>
    <x v="97"/>
    <d v="2025-01-04T00:00:00"/>
    <x v="10"/>
    <x v="2"/>
    <x v="0"/>
    <x v="2"/>
    <s v="California"/>
    <x v="3"/>
    <x v="10"/>
    <x v="0"/>
    <x v="2"/>
  </r>
  <r>
    <x v="100"/>
    <x v="5"/>
    <x v="17"/>
    <n v="41.4"/>
    <x v="98"/>
    <d v="2025-01-04T00:00:00"/>
    <x v="6"/>
    <x v="1"/>
    <x v="2"/>
    <x v="2"/>
    <s v="California"/>
    <x v="3"/>
    <x v="5"/>
    <x v="0"/>
    <x v="1"/>
  </r>
  <r>
    <x v="101"/>
    <x v="2"/>
    <x v="1"/>
    <n v="160"/>
    <x v="99"/>
    <d v="2025-01-05T00:00:00"/>
    <x v="0"/>
    <x v="1"/>
    <x v="2"/>
    <x v="2"/>
    <s v="California"/>
    <x v="5"/>
    <x v="3"/>
    <x v="1"/>
    <x v="1"/>
  </r>
  <r>
    <x v="102"/>
    <x v="19"/>
    <x v="5"/>
    <n v="10.5"/>
    <x v="100"/>
    <d v="2025-01-05T00:00:00"/>
    <x v="6"/>
    <x v="2"/>
    <x v="4"/>
    <x v="0"/>
    <s v="California"/>
    <x v="8"/>
    <x v="2"/>
    <x v="1"/>
    <x v="2"/>
  </r>
  <r>
    <x v="103"/>
    <x v="10"/>
    <x v="1"/>
    <n v="53"/>
    <x v="101"/>
    <d v="2025-01-05T00:00:00"/>
    <x v="5"/>
    <x v="1"/>
    <x v="2"/>
    <x v="4"/>
    <s v="California"/>
    <x v="17"/>
    <x v="7"/>
    <x v="1"/>
    <x v="1"/>
  </r>
  <r>
    <x v="104"/>
    <x v="8"/>
    <x v="2"/>
    <n v="18.5"/>
    <x v="102"/>
    <d v="2025-01-05T00:00:00"/>
    <x v="9"/>
    <x v="2"/>
    <x v="1"/>
    <x v="2"/>
    <s v="California"/>
    <x v="11"/>
    <x v="0"/>
    <x v="1"/>
    <x v="2"/>
  </r>
  <r>
    <x v="105"/>
    <x v="16"/>
    <x v="2"/>
    <n v="84.5"/>
    <x v="103"/>
    <d v="2025-01-05T00:00:00"/>
    <x v="4"/>
    <x v="2"/>
    <x v="4"/>
    <x v="1"/>
    <s v="California"/>
    <x v="13"/>
    <x v="1"/>
    <x v="1"/>
    <x v="2"/>
  </r>
  <r>
    <x v="106"/>
    <x v="15"/>
    <x v="3"/>
    <n v="31.2"/>
    <x v="104"/>
    <d v="2025-01-05T00:00:00"/>
    <x v="5"/>
    <x v="2"/>
    <x v="2"/>
    <x v="2"/>
    <s v="California"/>
    <x v="3"/>
    <x v="7"/>
    <x v="1"/>
    <x v="2"/>
  </r>
  <r>
    <x v="107"/>
    <x v="8"/>
    <x v="16"/>
    <n v="32.6"/>
    <x v="105"/>
    <d v="2025-01-05T00:00:00"/>
    <x v="0"/>
    <x v="1"/>
    <x v="1"/>
    <x v="1"/>
    <s v="California"/>
    <x v="3"/>
    <x v="3"/>
    <x v="1"/>
    <x v="1"/>
  </r>
  <r>
    <x v="108"/>
    <x v="10"/>
    <x v="12"/>
    <n v="45.4"/>
    <x v="106"/>
    <d v="2025-01-05T00:00:00"/>
    <x v="4"/>
    <x v="1"/>
    <x v="1"/>
    <x v="0"/>
    <s v="California"/>
    <x v="3"/>
    <x v="1"/>
    <x v="1"/>
    <x v="1"/>
  </r>
  <r>
    <x v="109"/>
    <x v="2"/>
    <x v="4"/>
    <n v="120"/>
    <x v="107"/>
    <d v="2025-01-05T00:00:00"/>
    <x v="0"/>
    <x v="2"/>
    <x v="2"/>
    <x v="4"/>
    <s v="California"/>
    <x v="3"/>
    <x v="3"/>
    <x v="1"/>
    <x v="2"/>
  </r>
  <r>
    <x v="110"/>
    <x v="0"/>
    <x v="12"/>
    <n v="18.899999999999999"/>
    <x v="108"/>
    <d v="2025-01-05T00:00:00"/>
    <x v="4"/>
    <x v="1"/>
    <x v="0"/>
    <x v="2"/>
    <s v="California"/>
    <x v="3"/>
    <x v="1"/>
    <x v="1"/>
    <x v="1"/>
  </r>
  <r>
    <x v="111"/>
    <x v="4"/>
    <x v="0"/>
    <n v="32"/>
    <x v="109"/>
    <d v="2025-01-05T00:00:00"/>
    <x v="4"/>
    <x v="2"/>
    <x v="4"/>
    <x v="0"/>
    <s v="California"/>
    <x v="3"/>
    <x v="1"/>
    <x v="1"/>
    <x v="2"/>
  </r>
  <r>
    <x v="112"/>
    <x v="7"/>
    <x v="1"/>
    <n v="37.299999999999997"/>
    <x v="110"/>
    <d v="2025-01-05T00:00:00"/>
    <x v="0"/>
    <x v="1"/>
    <x v="2"/>
    <x v="0"/>
    <s v="California"/>
    <x v="3"/>
    <x v="3"/>
    <x v="1"/>
    <x v="1"/>
  </r>
  <r>
    <x v="113"/>
    <x v="18"/>
    <x v="0"/>
    <n v="119.8"/>
    <x v="111"/>
    <d v="2025-01-05T00:00:00"/>
    <x v="0"/>
    <x v="1"/>
    <x v="1"/>
    <x v="1"/>
    <s v="California"/>
    <x v="3"/>
    <x v="3"/>
    <x v="1"/>
    <x v="1"/>
  </r>
  <r>
    <x v="114"/>
    <x v="10"/>
    <x v="1"/>
    <n v="26.4"/>
    <x v="112"/>
    <d v="2025-01-05T00:00:00"/>
    <x v="6"/>
    <x v="1"/>
    <x v="2"/>
    <x v="0"/>
    <s v="California"/>
    <x v="3"/>
    <x v="2"/>
    <x v="1"/>
    <x v="1"/>
  </r>
  <r>
    <x v="115"/>
    <x v="6"/>
    <x v="13"/>
    <n v="76.5"/>
    <x v="113"/>
    <d v="2025-01-05T00:00:00"/>
    <x v="0"/>
    <x v="2"/>
    <x v="1"/>
    <x v="1"/>
    <s v="California"/>
    <x v="3"/>
    <x v="3"/>
    <x v="1"/>
    <x v="2"/>
  </r>
  <r>
    <x v="116"/>
    <x v="4"/>
    <x v="7"/>
    <n v="45.7"/>
    <x v="114"/>
    <d v="2025-01-05T00:00:00"/>
    <x v="0"/>
    <x v="2"/>
    <x v="2"/>
    <x v="0"/>
    <s v="California"/>
    <x v="24"/>
    <x v="3"/>
    <x v="1"/>
    <x v="2"/>
  </r>
  <r>
    <x v="117"/>
    <x v="1"/>
    <x v="4"/>
    <n v="92.6"/>
    <x v="115"/>
    <d v="2025-01-05T00:00:00"/>
    <x v="4"/>
    <x v="2"/>
    <x v="2"/>
    <x v="0"/>
    <s v="California"/>
    <x v="25"/>
    <x v="1"/>
    <x v="1"/>
    <x v="2"/>
  </r>
  <r>
    <x v="118"/>
    <x v="6"/>
    <x v="13"/>
    <n v="60.1"/>
    <x v="116"/>
    <d v="2025-01-05T00:00:00"/>
    <x v="0"/>
    <x v="1"/>
    <x v="1"/>
    <x v="0"/>
    <s v="California"/>
    <x v="23"/>
    <x v="3"/>
    <x v="1"/>
    <x v="1"/>
  </r>
  <r>
    <x v="119"/>
    <x v="1"/>
    <x v="2"/>
    <n v="73"/>
    <x v="20"/>
    <d v="2025-01-05T00:00:00"/>
    <x v="0"/>
    <x v="2"/>
    <x v="3"/>
    <x v="1"/>
    <s v="California"/>
    <x v="6"/>
    <x v="3"/>
    <x v="1"/>
    <x v="2"/>
  </r>
  <r>
    <x v="120"/>
    <x v="6"/>
    <x v="2"/>
    <n v="44.3"/>
    <x v="117"/>
    <d v="2025-01-05T00:00:00"/>
    <x v="8"/>
    <x v="0"/>
    <x v="2"/>
    <x v="2"/>
    <s v="California"/>
    <x v="6"/>
    <x v="5"/>
    <x v="1"/>
    <x v="0"/>
  </r>
  <r>
    <x v="121"/>
    <x v="6"/>
    <x v="2"/>
    <n v="63.3"/>
    <x v="118"/>
    <d v="2025-01-05T00:00:00"/>
    <x v="0"/>
    <x v="1"/>
    <x v="2"/>
    <x v="0"/>
    <s v="California"/>
    <x v="6"/>
    <x v="3"/>
    <x v="1"/>
    <x v="1"/>
  </r>
  <r>
    <x v="122"/>
    <x v="12"/>
    <x v="0"/>
    <n v="66.8"/>
    <x v="119"/>
    <d v="2025-01-05T00:00:00"/>
    <x v="0"/>
    <x v="2"/>
    <x v="1"/>
    <x v="0"/>
    <s v="California"/>
    <x v="6"/>
    <x v="3"/>
    <x v="1"/>
    <x v="2"/>
  </r>
  <r>
    <x v="123"/>
    <x v="2"/>
    <x v="1"/>
    <n v="59.7"/>
    <x v="120"/>
    <d v="2025-01-05T00:00:00"/>
    <x v="0"/>
    <x v="2"/>
    <x v="0"/>
    <x v="0"/>
    <s v="California"/>
    <x v="7"/>
    <x v="3"/>
    <x v="1"/>
    <x v="2"/>
  </r>
  <r>
    <x v="124"/>
    <x v="1"/>
    <x v="13"/>
    <n v="92"/>
    <x v="121"/>
    <d v="2025-01-05T00:00:00"/>
    <x v="4"/>
    <x v="1"/>
    <x v="0"/>
    <x v="4"/>
    <s v="California"/>
    <x v="7"/>
    <x v="1"/>
    <x v="1"/>
    <x v="1"/>
  </r>
  <r>
    <x v="125"/>
    <x v="7"/>
    <x v="1"/>
    <n v="87.6"/>
    <x v="122"/>
    <d v="2025-01-05T00:00:00"/>
    <x v="4"/>
    <x v="1"/>
    <x v="1"/>
    <x v="1"/>
    <s v="California"/>
    <x v="8"/>
    <x v="1"/>
    <x v="1"/>
    <x v="1"/>
  </r>
  <r>
    <x v="126"/>
    <x v="6"/>
    <x v="2"/>
    <n v="84.5"/>
    <x v="103"/>
    <d v="2025-01-05T00:00:00"/>
    <x v="0"/>
    <x v="2"/>
    <x v="1"/>
    <x v="1"/>
    <s v="California"/>
    <x v="8"/>
    <x v="3"/>
    <x v="1"/>
    <x v="2"/>
  </r>
  <r>
    <x v="127"/>
    <x v="1"/>
    <x v="1"/>
    <n v="116.3"/>
    <x v="123"/>
    <d v="2025-01-06T00:00:00"/>
    <x v="6"/>
    <x v="1"/>
    <x v="2"/>
    <x v="2"/>
    <s v="California"/>
    <x v="8"/>
    <x v="1"/>
    <x v="1"/>
    <x v="1"/>
  </r>
  <r>
    <x v="128"/>
    <x v="6"/>
    <x v="9"/>
    <n v="52.7"/>
    <x v="124"/>
    <d v="2025-01-06T00:00:00"/>
    <x v="9"/>
    <x v="1"/>
    <x v="0"/>
    <x v="0"/>
    <s v="California"/>
    <x v="8"/>
    <x v="5"/>
    <x v="1"/>
    <x v="1"/>
  </r>
  <r>
    <x v="129"/>
    <x v="16"/>
    <x v="2"/>
    <n v="34.200000000000003"/>
    <x v="125"/>
    <d v="2025-01-06T00:00:00"/>
    <x v="4"/>
    <x v="1"/>
    <x v="0"/>
    <x v="2"/>
    <s v="California"/>
    <x v="26"/>
    <x v="3"/>
    <x v="1"/>
    <x v="1"/>
  </r>
  <r>
    <x v="130"/>
    <x v="9"/>
    <x v="0"/>
    <n v="23.3"/>
    <x v="126"/>
    <d v="2025-01-06T00:00:00"/>
    <x v="11"/>
    <x v="3"/>
    <x v="2"/>
    <x v="2"/>
    <s v="California"/>
    <x v="9"/>
    <x v="8"/>
    <x v="1"/>
    <x v="3"/>
  </r>
  <r>
    <x v="131"/>
    <x v="0"/>
    <x v="18"/>
    <n v="25.9"/>
    <x v="127"/>
    <d v="2025-01-06T00:00:00"/>
    <x v="8"/>
    <x v="2"/>
    <x v="4"/>
    <x v="1"/>
    <s v="California"/>
    <x v="9"/>
    <x v="2"/>
    <x v="1"/>
    <x v="2"/>
  </r>
  <r>
    <x v="132"/>
    <x v="6"/>
    <x v="19"/>
    <n v="54.9"/>
    <x v="128"/>
    <d v="2025-01-06T00:00:00"/>
    <x v="4"/>
    <x v="1"/>
    <x v="1"/>
    <x v="2"/>
    <s v="California"/>
    <x v="9"/>
    <x v="3"/>
    <x v="1"/>
    <x v="1"/>
  </r>
  <r>
    <x v="133"/>
    <x v="5"/>
    <x v="2"/>
    <n v="75.8"/>
    <x v="129"/>
    <d v="2025-01-06T00:00:00"/>
    <x v="7"/>
    <x v="3"/>
    <x v="1"/>
    <x v="0"/>
    <s v="California"/>
    <x v="18"/>
    <x v="0"/>
    <x v="1"/>
    <x v="3"/>
  </r>
  <r>
    <x v="134"/>
    <x v="1"/>
    <x v="11"/>
    <n v="44.9"/>
    <x v="130"/>
    <d v="2025-01-06T00:00:00"/>
    <x v="8"/>
    <x v="2"/>
    <x v="2"/>
    <x v="2"/>
    <s v="California"/>
    <x v="2"/>
    <x v="2"/>
    <x v="1"/>
    <x v="2"/>
  </r>
  <r>
    <x v="135"/>
    <x v="11"/>
    <x v="1"/>
    <n v="48.8"/>
    <x v="131"/>
    <d v="2025-01-06T00:00:00"/>
    <x v="6"/>
    <x v="2"/>
    <x v="3"/>
    <x v="0"/>
    <s v="California"/>
    <x v="27"/>
    <x v="1"/>
    <x v="1"/>
    <x v="2"/>
  </r>
  <r>
    <x v="136"/>
    <x v="15"/>
    <x v="0"/>
    <n v="20.3"/>
    <x v="132"/>
    <d v="2025-01-06T00:00:00"/>
    <x v="4"/>
    <x v="2"/>
    <x v="0"/>
    <x v="2"/>
    <s v="California"/>
    <x v="22"/>
    <x v="3"/>
    <x v="1"/>
    <x v="2"/>
  </r>
  <r>
    <x v="137"/>
    <x v="5"/>
    <x v="3"/>
    <n v="36.4"/>
    <x v="133"/>
    <d v="2025-01-06T00:00:00"/>
    <x v="8"/>
    <x v="2"/>
    <x v="0"/>
    <x v="1"/>
    <s v="California"/>
    <x v="3"/>
    <x v="2"/>
    <x v="1"/>
    <x v="2"/>
  </r>
  <r>
    <x v="138"/>
    <x v="0"/>
    <x v="0"/>
    <n v="19"/>
    <x v="134"/>
    <d v="2025-01-06T00:00:00"/>
    <x v="7"/>
    <x v="2"/>
    <x v="1"/>
    <x v="2"/>
    <s v="California"/>
    <x v="3"/>
    <x v="0"/>
    <x v="1"/>
    <x v="2"/>
  </r>
  <r>
    <x v="139"/>
    <x v="8"/>
    <x v="0"/>
    <n v="17.8"/>
    <x v="135"/>
    <d v="2025-01-06T00:00:00"/>
    <x v="0"/>
    <x v="1"/>
    <x v="0"/>
    <x v="0"/>
    <s v="California"/>
    <x v="3"/>
    <x v="7"/>
    <x v="1"/>
    <x v="1"/>
  </r>
  <r>
    <x v="140"/>
    <x v="2"/>
    <x v="13"/>
    <n v="139.6"/>
    <x v="136"/>
    <d v="2025-01-06T00:00:00"/>
    <x v="8"/>
    <x v="1"/>
    <x v="0"/>
    <x v="0"/>
    <s v="California"/>
    <x v="3"/>
    <x v="2"/>
    <x v="1"/>
    <x v="1"/>
  </r>
  <r>
    <x v="141"/>
    <x v="9"/>
    <x v="0"/>
    <n v="31.7"/>
    <x v="137"/>
    <d v="2025-01-06T00:00:00"/>
    <x v="0"/>
    <x v="0"/>
    <x v="0"/>
    <x v="0"/>
    <s v="California"/>
    <x v="3"/>
    <x v="7"/>
    <x v="1"/>
    <x v="0"/>
  </r>
  <r>
    <x v="142"/>
    <x v="8"/>
    <x v="8"/>
    <n v="26.3"/>
    <x v="138"/>
    <d v="2025-01-06T00:00:00"/>
    <x v="8"/>
    <x v="2"/>
    <x v="4"/>
    <x v="4"/>
    <s v="California"/>
    <x v="3"/>
    <x v="2"/>
    <x v="1"/>
    <x v="2"/>
  </r>
  <r>
    <x v="143"/>
    <x v="4"/>
    <x v="1"/>
    <n v="47.8"/>
    <x v="139"/>
    <d v="2025-01-06T00:00:00"/>
    <x v="4"/>
    <x v="0"/>
    <x v="0"/>
    <x v="0"/>
    <s v="California"/>
    <x v="3"/>
    <x v="3"/>
    <x v="1"/>
    <x v="0"/>
  </r>
  <r>
    <x v="144"/>
    <x v="9"/>
    <x v="2"/>
    <n v="69.400000000000006"/>
    <x v="140"/>
    <d v="2025-01-06T00:00:00"/>
    <x v="9"/>
    <x v="2"/>
    <x v="0"/>
    <x v="0"/>
    <s v="California"/>
    <x v="3"/>
    <x v="5"/>
    <x v="1"/>
    <x v="2"/>
  </r>
  <r>
    <x v="145"/>
    <x v="18"/>
    <x v="4"/>
    <n v="25.8"/>
    <x v="141"/>
    <d v="2025-01-06T00:00:00"/>
    <x v="4"/>
    <x v="1"/>
    <x v="4"/>
    <x v="4"/>
    <s v="California"/>
    <x v="3"/>
    <x v="3"/>
    <x v="1"/>
    <x v="1"/>
  </r>
  <r>
    <x v="146"/>
    <x v="0"/>
    <x v="12"/>
    <n v="26.4"/>
    <x v="142"/>
    <d v="2025-01-06T00:00:00"/>
    <x v="4"/>
    <x v="1"/>
    <x v="1"/>
    <x v="2"/>
    <s v="California"/>
    <x v="3"/>
    <x v="3"/>
    <x v="1"/>
    <x v="1"/>
  </r>
  <r>
    <x v="147"/>
    <x v="8"/>
    <x v="12"/>
    <n v="15.7"/>
    <x v="143"/>
    <d v="2025-01-06T00:00:00"/>
    <x v="4"/>
    <x v="1"/>
    <x v="2"/>
    <x v="0"/>
    <s v="California"/>
    <x v="3"/>
    <x v="3"/>
    <x v="1"/>
    <x v="1"/>
  </r>
  <r>
    <x v="148"/>
    <x v="8"/>
    <x v="0"/>
    <n v="39.700000000000003"/>
    <x v="144"/>
    <d v="2025-01-06T00:00:00"/>
    <x v="9"/>
    <x v="1"/>
    <x v="0"/>
    <x v="0"/>
    <s v="California"/>
    <x v="3"/>
    <x v="5"/>
    <x v="1"/>
    <x v="1"/>
  </r>
  <r>
    <x v="149"/>
    <x v="10"/>
    <x v="12"/>
    <n v="31.1"/>
    <x v="145"/>
    <d v="2025-01-06T00:00:00"/>
    <x v="6"/>
    <x v="2"/>
    <x v="2"/>
    <x v="1"/>
    <s v="California"/>
    <x v="3"/>
    <x v="1"/>
    <x v="1"/>
    <x v="2"/>
  </r>
  <r>
    <x v="150"/>
    <x v="13"/>
    <x v="20"/>
    <n v="23.4"/>
    <x v="146"/>
    <d v="2025-01-06T00:00:00"/>
    <x v="11"/>
    <x v="1"/>
    <x v="0"/>
    <x v="0"/>
    <s v="California"/>
    <x v="3"/>
    <x v="8"/>
    <x v="1"/>
    <x v="1"/>
  </r>
  <r>
    <x v="151"/>
    <x v="1"/>
    <x v="12"/>
    <n v="57.1"/>
    <x v="147"/>
    <d v="2025-01-07T00:00:00"/>
    <x v="6"/>
    <x v="1"/>
    <x v="2"/>
    <x v="0"/>
    <s v="California"/>
    <x v="25"/>
    <x v="3"/>
    <x v="1"/>
    <x v="1"/>
  </r>
  <r>
    <x v="152"/>
    <x v="2"/>
    <x v="9"/>
    <n v="89.9"/>
    <x v="148"/>
    <d v="2025-01-07T00:00:00"/>
    <x v="4"/>
    <x v="2"/>
    <x v="0"/>
    <x v="3"/>
    <s v="California"/>
    <x v="23"/>
    <x v="7"/>
    <x v="1"/>
    <x v="2"/>
  </r>
  <r>
    <x v="153"/>
    <x v="10"/>
    <x v="3"/>
    <n v="48.1"/>
    <x v="149"/>
    <d v="2025-01-07T00:00:00"/>
    <x v="8"/>
    <x v="2"/>
    <x v="1"/>
    <x v="2"/>
    <s v="California"/>
    <x v="6"/>
    <x v="1"/>
    <x v="1"/>
    <x v="2"/>
  </r>
  <r>
    <x v="154"/>
    <x v="8"/>
    <x v="1"/>
    <n v="29.3"/>
    <x v="150"/>
    <d v="2025-01-07T00:00:00"/>
    <x v="4"/>
    <x v="2"/>
    <x v="1"/>
    <x v="1"/>
    <s v="California"/>
    <x v="6"/>
    <x v="7"/>
    <x v="1"/>
    <x v="2"/>
  </r>
  <r>
    <x v="155"/>
    <x v="8"/>
    <x v="12"/>
    <n v="28.8"/>
    <x v="151"/>
    <d v="2025-01-07T00:00:00"/>
    <x v="6"/>
    <x v="2"/>
    <x v="0"/>
    <x v="4"/>
    <s v="California"/>
    <x v="6"/>
    <x v="3"/>
    <x v="1"/>
    <x v="2"/>
  </r>
  <r>
    <x v="156"/>
    <x v="10"/>
    <x v="9"/>
    <n v="40.5"/>
    <x v="152"/>
    <d v="2025-01-07T00:00:00"/>
    <x v="7"/>
    <x v="2"/>
    <x v="3"/>
    <x v="0"/>
    <s v="California"/>
    <x v="6"/>
    <x v="5"/>
    <x v="1"/>
    <x v="2"/>
  </r>
  <r>
    <x v="157"/>
    <x v="18"/>
    <x v="21"/>
    <n v="65.099999999999994"/>
    <x v="153"/>
    <d v="2025-01-07T00:00:00"/>
    <x v="6"/>
    <x v="2"/>
    <x v="4"/>
    <x v="0"/>
    <s v="California"/>
    <x v="7"/>
    <x v="3"/>
    <x v="1"/>
    <x v="2"/>
  </r>
  <r>
    <x v="158"/>
    <x v="8"/>
    <x v="12"/>
    <n v="40.299999999999997"/>
    <x v="154"/>
    <d v="2025-01-07T00:00:00"/>
    <x v="12"/>
    <x v="2"/>
    <x v="2"/>
    <x v="0"/>
    <s v="California"/>
    <x v="7"/>
    <x v="0"/>
    <x v="1"/>
    <x v="2"/>
  </r>
  <r>
    <x v="159"/>
    <x v="6"/>
    <x v="9"/>
    <n v="51.8"/>
    <x v="155"/>
    <d v="2025-01-07T00:00:00"/>
    <x v="6"/>
    <x v="1"/>
    <x v="2"/>
    <x v="2"/>
    <s v="California"/>
    <x v="8"/>
    <x v="3"/>
    <x v="1"/>
    <x v="1"/>
  </r>
  <r>
    <x v="160"/>
    <x v="6"/>
    <x v="2"/>
    <n v="61.3"/>
    <x v="156"/>
    <d v="2025-01-07T00:00:00"/>
    <x v="6"/>
    <x v="2"/>
    <x v="3"/>
    <x v="0"/>
    <s v="California"/>
    <x v="8"/>
    <x v="3"/>
    <x v="1"/>
    <x v="2"/>
  </r>
  <r>
    <x v="161"/>
    <x v="2"/>
    <x v="12"/>
    <n v="122.5"/>
    <x v="157"/>
    <d v="2025-01-07T00:00:00"/>
    <x v="6"/>
    <x v="1"/>
    <x v="0"/>
    <x v="0"/>
    <s v="California"/>
    <x v="8"/>
    <x v="3"/>
    <x v="1"/>
    <x v="1"/>
  </r>
  <r>
    <x v="162"/>
    <x v="0"/>
    <x v="11"/>
    <n v="12.5"/>
    <x v="158"/>
    <d v="2025-01-07T00:00:00"/>
    <x v="6"/>
    <x v="0"/>
    <x v="1"/>
    <x v="2"/>
    <s v="California"/>
    <x v="8"/>
    <x v="3"/>
    <x v="1"/>
    <x v="0"/>
  </r>
  <r>
    <x v="163"/>
    <x v="15"/>
    <x v="8"/>
    <n v="37.5"/>
    <x v="159"/>
    <d v="2025-01-07T00:00:00"/>
    <x v="6"/>
    <x v="2"/>
    <x v="0"/>
    <x v="0"/>
    <s v="California"/>
    <x v="9"/>
    <x v="3"/>
    <x v="1"/>
    <x v="2"/>
  </r>
  <r>
    <x v="164"/>
    <x v="6"/>
    <x v="2"/>
    <n v="40"/>
    <x v="160"/>
    <d v="2025-01-07T00:00:00"/>
    <x v="9"/>
    <x v="1"/>
    <x v="0"/>
    <x v="4"/>
    <s v="California"/>
    <x v="11"/>
    <x v="2"/>
    <x v="1"/>
    <x v="1"/>
  </r>
  <r>
    <x v="165"/>
    <x v="17"/>
    <x v="8"/>
    <n v="38.5"/>
    <x v="161"/>
    <d v="2025-01-07T00:00:00"/>
    <x v="12"/>
    <x v="2"/>
    <x v="2"/>
    <x v="1"/>
    <s v="California"/>
    <x v="11"/>
    <x v="0"/>
    <x v="1"/>
    <x v="2"/>
  </r>
  <r>
    <x v="166"/>
    <x v="2"/>
    <x v="1"/>
    <n v="86.4"/>
    <x v="162"/>
    <d v="2025-01-07T00:00:00"/>
    <x v="8"/>
    <x v="2"/>
    <x v="0"/>
    <x v="0"/>
    <s v="California"/>
    <x v="18"/>
    <x v="1"/>
    <x v="1"/>
    <x v="2"/>
  </r>
  <r>
    <x v="167"/>
    <x v="10"/>
    <x v="0"/>
    <n v="50.7"/>
    <x v="163"/>
    <d v="2025-01-07T00:00:00"/>
    <x v="7"/>
    <x v="2"/>
    <x v="1"/>
    <x v="0"/>
    <s v="California"/>
    <x v="18"/>
    <x v="5"/>
    <x v="1"/>
    <x v="2"/>
  </r>
  <r>
    <x v="168"/>
    <x v="10"/>
    <x v="1"/>
    <n v="61"/>
    <x v="164"/>
    <d v="2025-01-07T00:00:00"/>
    <x v="13"/>
    <x v="2"/>
    <x v="4"/>
    <x v="1"/>
    <s v="California"/>
    <x v="18"/>
    <x v="11"/>
    <x v="1"/>
    <x v="2"/>
  </r>
  <r>
    <x v="169"/>
    <x v="4"/>
    <x v="1"/>
    <n v="19.899999999999999"/>
    <x v="165"/>
    <d v="2025-01-07T00:00:00"/>
    <x v="9"/>
    <x v="2"/>
    <x v="1"/>
    <x v="0"/>
    <s v="California"/>
    <x v="28"/>
    <x v="2"/>
    <x v="1"/>
    <x v="2"/>
  </r>
  <r>
    <x v="170"/>
    <x v="5"/>
    <x v="0"/>
    <n v="78.3"/>
    <x v="166"/>
    <d v="2025-01-07T00:00:00"/>
    <x v="4"/>
    <x v="2"/>
    <x v="0"/>
    <x v="2"/>
    <s v="California"/>
    <x v="1"/>
    <x v="7"/>
    <x v="1"/>
    <x v="2"/>
  </r>
  <r>
    <x v="171"/>
    <x v="0"/>
    <x v="10"/>
    <n v="10.4"/>
    <x v="167"/>
    <d v="2025-01-07T00:00:00"/>
    <x v="8"/>
    <x v="1"/>
    <x v="0"/>
    <x v="2"/>
    <s v="California"/>
    <x v="2"/>
    <x v="1"/>
    <x v="1"/>
    <x v="1"/>
  </r>
  <r>
    <x v="172"/>
    <x v="10"/>
    <x v="0"/>
    <n v="36.1"/>
    <x v="168"/>
    <d v="2025-01-07T00:00:00"/>
    <x v="9"/>
    <x v="1"/>
    <x v="3"/>
    <x v="2"/>
    <s v="California"/>
    <x v="3"/>
    <x v="2"/>
    <x v="1"/>
    <x v="1"/>
  </r>
  <r>
    <x v="173"/>
    <x v="14"/>
    <x v="1"/>
    <n v="17.3"/>
    <x v="169"/>
    <d v="2025-01-07T00:00:00"/>
    <x v="8"/>
    <x v="2"/>
    <x v="1"/>
    <x v="2"/>
    <s v="California"/>
    <x v="3"/>
    <x v="1"/>
    <x v="1"/>
    <x v="2"/>
  </r>
  <r>
    <x v="174"/>
    <x v="10"/>
    <x v="1"/>
    <n v="30.5"/>
    <x v="170"/>
    <d v="2025-01-07T00:00:00"/>
    <x v="6"/>
    <x v="2"/>
    <x v="1"/>
    <x v="2"/>
    <s v="California"/>
    <x v="3"/>
    <x v="3"/>
    <x v="1"/>
    <x v="2"/>
  </r>
  <r>
    <x v="175"/>
    <x v="18"/>
    <x v="22"/>
    <n v="70.099999999999994"/>
    <x v="171"/>
    <d v="2025-01-07T00:00:00"/>
    <x v="4"/>
    <x v="2"/>
    <x v="2"/>
    <x v="0"/>
    <s v="California"/>
    <x v="3"/>
    <x v="7"/>
    <x v="1"/>
    <x v="2"/>
  </r>
  <r>
    <x v="176"/>
    <x v="3"/>
    <x v="0"/>
    <n v="76.099999999999994"/>
    <x v="172"/>
    <d v="2025-01-07T00:00:00"/>
    <x v="4"/>
    <x v="2"/>
    <x v="2"/>
    <x v="1"/>
    <s v="California"/>
    <x v="3"/>
    <x v="7"/>
    <x v="1"/>
    <x v="2"/>
  </r>
  <r>
    <x v="177"/>
    <x v="15"/>
    <x v="15"/>
    <n v="34.200000000000003"/>
    <x v="173"/>
    <d v="2025-01-07T00:00:00"/>
    <x v="6"/>
    <x v="1"/>
    <x v="0"/>
    <x v="0"/>
    <s v="California"/>
    <x v="3"/>
    <x v="3"/>
    <x v="1"/>
    <x v="1"/>
  </r>
  <r>
    <x v="178"/>
    <x v="8"/>
    <x v="9"/>
    <n v="30.3"/>
    <x v="174"/>
    <d v="2025-01-07T00:00:00"/>
    <x v="12"/>
    <x v="2"/>
    <x v="4"/>
    <x v="0"/>
    <s v="California"/>
    <x v="3"/>
    <x v="0"/>
    <x v="1"/>
    <x v="2"/>
  </r>
  <r>
    <x v="179"/>
    <x v="6"/>
    <x v="9"/>
    <n v="52.5"/>
    <x v="175"/>
    <d v="2025-01-07T00:00:00"/>
    <x v="7"/>
    <x v="0"/>
    <x v="3"/>
    <x v="0"/>
    <s v="California"/>
    <x v="3"/>
    <x v="5"/>
    <x v="1"/>
    <x v="0"/>
  </r>
  <r>
    <x v="180"/>
    <x v="9"/>
    <x v="5"/>
    <n v="28.7"/>
    <x v="176"/>
    <d v="2025-01-07T00:00:00"/>
    <x v="6"/>
    <x v="2"/>
    <x v="2"/>
    <x v="0"/>
    <s v="California"/>
    <x v="3"/>
    <x v="3"/>
    <x v="1"/>
    <x v="2"/>
  </r>
  <r>
    <x v="181"/>
    <x v="7"/>
    <x v="3"/>
    <n v="52"/>
    <x v="177"/>
    <d v="2025-01-07T00:00:00"/>
    <x v="6"/>
    <x v="1"/>
    <x v="1"/>
    <x v="4"/>
    <s v="California"/>
    <x v="3"/>
    <x v="3"/>
    <x v="1"/>
    <x v="1"/>
  </r>
  <r>
    <x v="182"/>
    <x v="0"/>
    <x v="0"/>
    <n v="13.3"/>
    <x v="178"/>
    <d v="2025-01-08T00:00:00"/>
    <x v="12"/>
    <x v="2"/>
    <x v="2"/>
    <x v="1"/>
    <s v="California"/>
    <x v="3"/>
    <x v="5"/>
    <x v="1"/>
    <x v="2"/>
  </r>
  <r>
    <x v="183"/>
    <x v="0"/>
    <x v="2"/>
    <n v="15.7"/>
    <x v="179"/>
    <d v="2025-01-08T00:00:00"/>
    <x v="8"/>
    <x v="2"/>
    <x v="1"/>
    <x v="0"/>
    <s v="California"/>
    <x v="29"/>
    <x v="3"/>
    <x v="1"/>
    <x v="2"/>
  </r>
  <r>
    <x v="184"/>
    <x v="8"/>
    <x v="1"/>
    <n v="25.6"/>
    <x v="180"/>
    <d v="2025-01-08T00:00:00"/>
    <x v="8"/>
    <x v="1"/>
    <x v="0"/>
    <x v="2"/>
    <s v="California"/>
    <x v="23"/>
    <x v="3"/>
    <x v="1"/>
    <x v="1"/>
  </r>
  <r>
    <x v="185"/>
    <x v="8"/>
    <x v="0"/>
    <n v="43.4"/>
    <x v="181"/>
    <d v="2025-01-08T00:00:00"/>
    <x v="14"/>
    <x v="1"/>
    <x v="0"/>
    <x v="0"/>
    <s v="California"/>
    <x v="6"/>
    <x v="0"/>
    <x v="1"/>
    <x v="1"/>
  </r>
  <r>
    <x v="186"/>
    <x v="11"/>
    <x v="11"/>
    <n v="33.4"/>
    <x v="182"/>
    <d v="2025-01-08T00:00:00"/>
    <x v="6"/>
    <x v="2"/>
    <x v="0"/>
    <x v="0"/>
    <s v="California"/>
    <x v="8"/>
    <x v="7"/>
    <x v="1"/>
    <x v="2"/>
  </r>
  <r>
    <x v="187"/>
    <x v="8"/>
    <x v="10"/>
    <n v="55"/>
    <x v="183"/>
    <d v="2025-01-08T00:00:00"/>
    <x v="8"/>
    <x v="2"/>
    <x v="1"/>
    <x v="2"/>
    <s v="California"/>
    <x v="8"/>
    <x v="3"/>
    <x v="1"/>
    <x v="2"/>
  </r>
  <r>
    <x v="188"/>
    <x v="8"/>
    <x v="2"/>
    <n v="23.6"/>
    <x v="184"/>
    <d v="2025-01-08T00:00:00"/>
    <x v="8"/>
    <x v="1"/>
    <x v="0"/>
    <x v="2"/>
    <s v="California"/>
    <x v="8"/>
    <x v="3"/>
    <x v="1"/>
    <x v="1"/>
  </r>
  <r>
    <x v="189"/>
    <x v="12"/>
    <x v="11"/>
    <n v="104"/>
    <x v="185"/>
    <d v="2025-01-08T00:00:00"/>
    <x v="9"/>
    <x v="2"/>
    <x v="2"/>
    <x v="2"/>
    <s v="California"/>
    <x v="17"/>
    <x v="1"/>
    <x v="1"/>
    <x v="2"/>
  </r>
  <r>
    <x v="190"/>
    <x v="6"/>
    <x v="1"/>
    <n v="51.8"/>
    <x v="186"/>
    <d v="2025-01-08T00:00:00"/>
    <x v="12"/>
    <x v="0"/>
    <x v="0"/>
    <x v="2"/>
    <s v="California"/>
    <x v="10"/>
    <x v="5"/>
    <x v="1"/>
    <x v="0"/>
  </r>
  <r>
    <x v="191"/>
    <x v="10"/>
    <x v="9"/>
    <n v="34.5"/>
    <x v="187"/>
    <d v="2025-01-08T00:00:00"/>
    <x v="9"/>
    <x v="0"/>
    <x v="2"/>
    <x v="2"/>
    <s v="California"/>
    <x v="11"/>
    <x v="1"/>
    <x v="1"/>
    <x v="0"/>
  </r>
  <r>
    <x v="192"/>
    <x v="6"/>
    <x v="1"/>
    <n v="51.8"/>
    <x v="186"/>
    <d v="2025-01-08T00:00:00"/>
    <x v="9"/>
    <x v="1"/>
    <x v="1"/>
    <x v="2"/>
    <s v="California"/>
    <x v="30"/>
    <x v="1"/>
    <x v="1"/>
    <x v="1"/>
  </r>
  <r>
    <x v="193"/>
    <x v="18"/>
    <x v="23"/>
    <n v="131.5"/>
    <x v="188"/>
    <d v="2025-01-08T00:00:00"/>
    <x v="8"/>
    <x v="2"/>
    <x v="0"/>
    <x v="2"/>
    <s v="California"/>
    <x v="18"/>
    <x v="3"/>
    <x v="1"/>
    <x v="2"/>
  </r>
  <r>
    <x v="194"/>
    <x v="8"/>
    <x v="3"/>
    <n v="47.8"/>
    <x v="189"/>
    <d v="2025-01-08T00:00:00"/>
    <x v="6"/>
    <x v="2"/>
    <x v="0"/>
    <x v="0"/>
    <s v="California"/>
    <x v="19"/>
    <x v="7"/>
    <x v="1"/>
    <x v="2"/>
  </r>
  <r>
    <x v="195"/>
    <x v="0"/>
    <x v="1"/>
    <n v="10.199999999999999"/>
    <x v="190"/>
    <d v="2025-01-08T00:00:00"/>
    <x v="9"/>
    <x v="2"/>
    <x v="0"/>
    <x v="0"/>
    <s v="California"/>
    <x v="19"/>
    <x v="1"/>
    <x v="1"/>
    <x v="2"/>
  </r>
  <r>
    <x v="196"/>
    <x v="8"/>
    <x v="8"/>
    <n v="41"/>
    <x v="191"/>
    <d v="2025-01-08T00:00:00"/>
    <x v="6"/>
    <x v="2"/>
    <x v="1"/>
    <x v="2"/>
    <s v="California"/>
    <x v="19"/>
    <x v="7"/>
    <x v="1"/>
    <x v="2"/>
  </r>
  <r>
    <x v="197"/>
    <x v="10"/>
    <x v="3"/>
    <n v="50.8"/>
    <x v="192"/>
    <d v="2025-01-08T00:00:00"/>
    <x v="7"/>
    <x v="2"/>
    <x v="1"/>
    <x v="0"/>
    <s v="California"/>
    <x v="21"/>
    <x v="2"/>
    <x v="1"/>
    <x v="2"/>
  </r>
  <r>
    <x v="198"/>
    <x v="18"/>
    <x v="2"/>
    <n v="39.6"/>
    <x v="193"/>
    <d v="2025-01-08T00:00:00"/>
    <x v="8"/>
    <x v="1"/>
    <x v="2"/>
    <x v="2"/>
    <s v="California"/>
    <x v="1"/>
    <x v="3"/>
    <x v="1"/>
    <x v="1"/>
  </r>
  <r>
    <x v="199"/>
    <x v="5"/>
    <x v="1"/>
    <n v="69.5"/>
    <x v="194"/>
    <d v="2025-01-08T00:00:00"/>
    <x v="9"/>
    <x v="1"/>
    <x v="0"/>
    <x v="2"/>
    <s v="California"/>
    <x v="2"/>
    <x v="1"/>
    <x v="1"/>
    <x v="1"/>
  </r>
  <r>
    <x v="200"/>
    <x v="8"/>
    <x v="8"/>
    <n v="32.6"/>
    <x v="195"/>
    <d v="2025-01-08T00:00:00"/>
    <x v="7"/>
    <x v="1"/>
    <x v="1"/>
    <x v="0"/>
    <s v="California"/>
    <x v="3"/>
    <x v="2"/>
    <x v="1"/>
    <x v="1"/>
  </r>
  <r>
    <x v="201"/>
    <x v="7"/>
    <x v="1"/>
    <n v="49.1"/>
    <x v="196"/>
    <d v="2025-01-08T00:00:00"/>
    <x v="15"/>
    <x v="1"/>
    <x v="3"/>
    <x v="2"/>
    <s v="California"/>
    <x v="3"/>
    <x v="9"/>
    <x v="1"/>
    <x v="1"/>
  </r>
  <r>
    <x v="202"/>
    <x v="6"/>
    <x v="1"/>
    <n v="49.4"/>
    <x v="197"/>
    <d v="2025-01-09T00:00:00"/>
    <x v="9"/>
    <x v="2"/>
    <x v="2"/>
    <x v="0"/>
    <s v="California"/>
    <x v="3"/>
    <x v="3"/>
    <x v="1"/>
    <x v="2"/>
  </r>
  <r>
    <x v="203"/>
    <x v="7"/>
    <x v="3"/>
    <n v="65.099999999999994"/>
    <x v="198"/>
    <d v="2025-01-09T00:00:00"/>
    <x v="12"/>
    <x v="2"/>
    <x v="2"/>
    <x v="2"/>
    <s v="California"/>
    <x v="3"/>
    <x v="2"/>
    <x v="1"/>
    <x v="2"/>
  </r>
  <r>
    <x v="204"/>
    <x v="3"/>
    <x v="1"/>
    <n v="52.1"/>
    <x v="199"/>
    <d v="2025-01-09T00:00:00"/>
    <x v="14"/>
    <x v="2"/>
    <x v="2"/>
    <x v="0"/>
    <s v="California"/>
    <x v="3"/>
    <x v="5"/>
    <x v="1"/>
    <x v="2"/>
  </r>
  <r>
    <x v="205"/>
    <x v="2"/>
    <x v="12"/>
    <n v="129.19999999999999"/>
    <x v="200"/>
    <d v="2025-01-09T00:00:00"/>
    <x v="9"/>
    <x v="2"/>
    <x v="1"/>
    <x v="0"/>
    <s v="California"/>
    <x v="3"/>
    <x v="3"/>
    <x v="1"/>
    <x v="2"/>
  </r>
  <r>
    <x v="206"/>
    <x v="1"/>
    <x v="10"/>
    <n v="81.8"/>
    <x v="201"/>
    <d v="2025-01-09T00:00:00"/>
    <x v="8"/>
    <x v="2"/>
    <x v="1"/>
    <x v="1"/>
    <s v="California"/>
    <x v="3"/>
    <x v="7"/>
    <x v="1"/>
    <x v="2"/>
  </r>
  <r>
    <x v="207"/>
    <x v="17"/>
    <x v="0"/>
    <n v="24.9"/>
    <x v="202"/>
    <d v="2025-01-09T00:00:00"/>
    <x v="14"/>
    <x v="2"/>
    <x v="1"/>
    <x v="0"/>
    <s v="California"/>
    <x v="3"/>
    <x v="5"/>
    <x v="1"/>
    <x v="2"/>
  </r>
  <r>
    <x v="208"/>
    <x v="0"/>
    <x v="2"/>
    <n v="49.4"/>
    <x v="203"/>
    <d v="2025-01-09T00:00:00"/>
    <x v="12"/>
    <x v="2"/>
    <x v="4"/>
    <x v="4"/>
    <s v="California"/>
    <x v="3"/>
    <x v="2"/>
    <x v="1"/>
    <x v="2"/>
  </r>
  <r>
    <x v="209"/>
    <x v="8"/>
    <x v="1"/>
    <n v="22.7"/>
    <x v="204"/>
    <d v="2025-01-09T00:00:00"/>
    <x v="9"/>
    <x v="1"/>
    <x v="3"/>
    <x v="2"/>
    <s v="California"/>
    <x v="3"/>
    <x v="3"/>
    <x v="1"/>
    <x v="1"/>
  </r>
  <r>
    <x v="210"/>
    <x v="1"/>
    <x v="0"/>
    <n v="77.3"/>
    <x v="83"/>
    <d v="2025-01-09T00:00:00"/>
    <x v="8"/>
    <x v="2"/>
    <x v="0"/>
    <x v="2"/>
    <s v="California"/>
    <x v="6"/>
    <x v="7"/>
    <x v="1"/>
    <x v="2"/>
  </r>
  <r>
    <x v="211"/>
    <x v="1"/>
    <x v="9"/>
    <n v="109.1"/>
    <x v="205"/>
    <d v="2025-01-09T00:00:00"/>
    <x v="12"/>
    <x v="2"/>
    <x v="0"/>
    <x v="0"/>
    <s v="California"/>
    <x v="6"/>
    <x v="2"/>
    <x v="1"/>
    <x v="2"/>
  </r>
  <r>
    <x v="212"/>
    <x v="2"/>
    <x v="12"/>
    <n v="53.9"/>
    <x v="206"/>
    <d v="2025-01-09T00:00:00"/>
    <x v="9"/>
    <x v="1"/>
    <x v="0"/>
    <x v="1"/>
    <s v="California"/>
    <x v="8"/>
    <x v="3"/>
    <x v="1"/>
    <x v="1"/>
  </r>
  <r>
    <x v="213"/>
    <x v="9"/>
    <x v="18"/>
    <n v="21.2"/>
    <x v="207"/>
    <d v="2025-01-09T00:00:00"/>
    <x v="8"/>
    <x v="2"/>
    <x v="0"/>
    <x v="0"/>
    <s v="California"/>
    <x v="9"/>
    <x v="7"/>
    <x v="1"/>
    <x v="2"/>
  </r>
  <r>
    <x v="214"/>
    <x v="16"/>
    <x v="12"/>
    <n v="69"/>
    <x v="208"/>
    <d v="2025-01-09T00:00:00"/>
    <x v="7"/>
    <x v="2"/>
    <x v="1"/>
    <x v="1"/>
    <s v="California"/>
    <x v="18"/>
    <x v="1"/>
    <x v="1"/>
    <x v="2"/>
  </r>
  <r>
    <x v="215"/>
    <x v="6"/>
    <x v="2"/>
    <n v="46.2"/>
    <x v="209"/>
    <d v="2025-01-09T00:00:00"/>
    <x v="7"/>
    <x v="2"/>
    <x v="0"/>
    <x v="2"/>
    <s v="California"/>
    <x v="31"/>
    <x v="1"/>
    <x v="1"/>
    <x v="2"/>
  </r>
  <r>
    <x v="216"/>
    <x v="1"/>
    <x v="9"/>
    <n v="97.4"/>
    <x v="210"/>
    <d v="2025-01-09T00:00:00"/>
    <x v="14"/>
    <x v="2"/>
    <x v="4"/>
    <x v="2"/>
    <s v="California"/>
    <x v="21"/>
    <x v="5"/>
    <x v="1"/>
    <x v="2"/>
  </r>
  <r>
    <x v="217"/>
    <x v="8"/>
    <x v="9"/>
    <n v="21"/>
    <x v="211"/>
    <d v="2025-01-09T00:00:00"/>
    <x v="9"/>
    <x v="1"/>
    <x v="0"/>
    <x v="1"/>
    <s v="California"/>
    <x v="21"/>
    <x v="3"/>
    <x v="1"/>
    <x v="1"/>
  </r>
  <r>
    <x v="218"/>
    <x v="5"/>
    <x v="1"/>
    <n v="32.700000000000003"/>
    <x v="212"/>
    <d v="2025-01-10T00:00:00"/>
    <x v="14"/>
    <x v="2"/>
    <x v="1"/>
    <x v="0"/>
    <s v="California"/>
    <x v="2"/>
    <x v="2"/>
    <x v="1"/>
    <x v="2"/>
  </r>
  <r>
    <x v="219"/>
    <x v="6"/>
    <x v="12"/>
    <n v="48"/>
    <x v="213"/>
    <d v="2025-01-10T00:00:00"/>
    <x v="7"/>
    <x v="1"/>
    <x v="3"/>
    <x v="0"/>
    <s v="California"/>
    <x v="3"/>
    <x v="3"/>
    <x v="1"/>
    <x v="1"/>
  </r>
  <r>
    <x v="220"/>
    <x v="6"/>
    <x v="2"/>
    <n v="68.2"/>
    <x v="214"/>
    <d v="2025-01-10T00:00:00"/>
    <x v="16"/>
    <x v="0"/>
    <x v="0"/>
    <x v="2"/>
    <s v="California"/>
    <x v="3"/>
    <x v="5"/>
    <x v="1"/>
    <x v="0"/>
  </r>
  <r>
    <x v="221"/>
    <x v="5"/>
    <x v="0"/>
    <n v="45.4"/>
    <x v="204"/>
    <d v="2025-01-10T00:00:00"/>
    <x v="12"/>
    <x v="1"/>
    <x v="1"/>
    <x v="0"/>
    <s v="California"/>
    <x v="3"/>
    <x v="1"/>
    <x v="1"/>
    <x v="1"/>
  </r>
  <r>
    <x v="222"/>
    <x v="12"/>
    <x v="1"/>
    <n v="53.9"/>
    <x v="215"/>
    <d v="2025-01-10T00:00:00"/>
    <x v="7"/>
    <x v="2"/>
    <x v="2"/>
    <x v="0"/>
    <s v="California"/>
    <x v="3"/>
    <x v="3"/>
    <x v="1"/>
    <x v="2"/>
  </r>
  <r>
    <x v="223"/>
    <x v="2"/>
    <x v="12"/>
    <n v="62.1"/>
    <x v="216"/>
    <d v="2025-01-10T00:00:00"/>
    <x v="16"/>
    <x v="2"/>
    <x v="0"/>
    <x v="0"/>
    <s v="California"/>
    <x v="4"/>
    <x v="5"/>
    <x v="1"/>
    <x v="2"/>
  </r>
  <r>
    <x v="224"/>
    <x v="13"/>
    <x v="3"/>
    <n v="33.1"/>
    <x v="217"/>
    <d v="2025-01-10T00:00:00"/>
    <x v="11"/>
    <x v="1"/>
    <x v="1"/>
    <x v="0"/>
    <s v="California"/>
    <x v="6"/>
    <x v="0"/>
    <x v="1"/>
    <x v="1"/>
  </r>
  <r>
    <x v="225"/>
    <x v="18"/>
    <x v="9"/>
    <n v="35.200000000000003"/>
    <x v="218"/>
    <d v="2025-01-10T00:00:00"/>
    <x v="9"/>
    <x v="2"/>
    <x v="1"/>
    <x v="0"/>
    <s v="California"/>
    <x v="6"/>
    <x v="7"/>
    <x v="1"/>
    <x v="2"/>
  </r>
  <r>
    <x v="226"/>
    <x v="9"/>
    <x v="2"/>
    <n v="32.1"/>
    <x v="219"/>
    <d v="2025-01-10T00:00:00"/>
    <x v="11"/>
    <x v="1"/>
    <x v="3"/>
    <x v="0"/>
    <s v="California"/>
    <x v="8"/>
    <x v="0"/>
    <x v="1"/>
    <x v="1"/>
  </r>
  <r>
    <x v="227"/>
    <x v="11"/>
    <x v="0"/>
    <n v="38.1"/>
    <x v="220"/>
    <d v="2025-01-10T00:00:00"/>
    <x v="11"/>
    <x v="2"/>
    <x v="0"/>
    <x v="2"/>
    <s v="California"/>
    <x v="8"/>
    <x v="0"/>
    <x v="1"/>
    <x v="2"/>
  </r>
  <r>
    <x v="228"/>
    <x v="8"/>
    <x v="0"/>
    <n v="65.2"/>
    <x v="221"/>
    <d v="2025-01-10T00:00:00"/>
    <x v="11"/>
    <x v="2"/>
    <x v="3"/>
    <x v="1"/>
    <s v="California"/>
    <x v="8"/>
    <x v="0"/>
    <x v="1"/>
    <x v="2"/>
  </r>
  <r>
    <x v="229"/>
    <x v="10"/>
    <x v="3"/>
    <n v="55.2"/>
    <x v="222"/>
    <d v="2025-01-10T00:00:00"/>
    <x v="7"/>
    <x v="1"/>
    <x v="2"/>
    <x v="0"/>
    <s v="California"/>
    <x v="11"/>
    <x v="3"/>
    <x v="1"/>
    <x v="1"/>
  </r>
  <r>
    <x v="230"/>
    <x v="6"/>
    <x v="0"/>
    <n v="62"/>
    <x v="85"/>
    <d v="2025-01-10T00:00:00"/>
    <x v="16"/>
    <x v="2"/>
    <x v="0"/>
    <x v="0"/>
    <s v="California"/>
    <x v="11"/>
    <x v="5"/>
    <x v="1"/>
    <x v="2"/>
  </r>
  <r>
    <x v="231"/>
    <x v="7"/>
    <x v="2"/>
    <n v="45.9"/>
    <x v="223"/>
    <d v="2025-01-10T00:00:00"/>
    <x v="7"/>
    <x v="2"/>
    <x v="2"/>
    <x v="0"/>
    <s v="California"/>
    <x v="32"/>
    <x v="3"/>
    <x v="1"/>
    <x v="2"/>
  </r>
  <r>
    <x v="232"/>
    <x v="18"/>
    <x v="2"/>
    <n v="58.3"/>
    <x v="224"/>
    <d v="2025-01-10T00:00:00"/>
    <x v="9"/>
    <x v="1"/>
    <x v="1"/>
    <x v="1"/>
    <s v="California"/>
    <x v="18"/>
    <x v="7"/>
    <x v="1"/>
    <x v="1"/>
  </r>
  <r>
    <x v="233"/>
    <x v="8"/>
    <x v="1"/>
    <n v="22.3"/>
    <x v="225"/>
    <d v="2025-01-10T00:00:00"/>
    <x v="14"/>
    <x v="2"/>
    <x v="0"/>
    <x v="2"/>
    <s v="California"/>
    <x v="20"/>
    <x v="2"/>
    <x v="1"/>
    <x v="2"/>
  </r>
  <r>
    <x v="234"/>
    <x v="19"/>
    <x v="9"/>
    <n v="24"/>
    <x v="160"/>
    <d v="2025-01-10T00:00:00"/>
    <x v="7"/>
    <x v="1"/>
    <x v="4"/>
    <x v="0"/>
    <s v="California"/>
    <x v="1"/>
    <x v="3"/>
    <x v="1"/>
    <x v="1"/>
  </r>
  <r>
    <x v="235"/>
    <x v="0"/>
    <x v="7"/>
    <n v="21.3"/>
    <x v="226"/>
    <d v="2025-01-10T00:00:00"/>
    <x v="9"/>
    <x v="2"/>
    <x v="1"/>
    <x v="2"/>
    <s v="California"/>
    <x v="22"/>
    <x v="7"/>
    <x v="1"/>
    <x v="2"/>
  </r>
  <r>
    <x v="236"/>
    <x v="6"/>
    <x v="24"/>
    <n v="57.8"/>
    <x v="227"/>
    <d v="2025-01-10T00:00:00"/>
    <x v="12"/>
    <x v="2"/>
    <x v="0"/>
    <x v="2"/>
    <s v="California"/>
    <x v="3"/>
    <x v="1"/>
    <x v="1"/>
    <x v="2"/>
  </r>
  <r>
    <x v="237"/>
    <x v="10"/>
    <x v="2"/>
    <n v="67.599999999999994"/>
    <x v="228"/>
    <d v="2025-01-10T00:00:00"/>
    <x v="7"/>
    <x v="2"/>
    <x v="0"/>
    <x v="0"/>
    <s v="California"/>
    <x v="3"/>
    <x v="3"/>
    <x v="1"/>
    <x v="2"/>
  </r>
  <r>
    <x v="238"/>
    <x v="6"/>
    <x v="13"/>
    <n v="66.7"/>
    <x v="229"/>
    <d v="2025-01-10T00:00:00"/>
    <x v="16"/>
    <x v="1"/>
    <x v="4"/>
    <x v="1"/>
    <s v="California"/>
    <x v="3"/>
    <x v="5"/>
    <x v="1"/>
    <x v="1"/>
  </r>
  <r>
    <x v="239"/>
    <x v="1"/>
    <x v="12"/>
    <n v="53.1"/>
    <x v="230"/>
    <d v="2025-01-10T00:00:00"/>
    <x v="12"/>
    <x v="2"/>
    <x v="1"/>
    <x v="0"/>
    <s v="California"/>
    <x v="3"/>
    <x v="1"/>
    <x v="1"/>
    <x v="2"/>
  </r>
  <r>
    <x v="240"/>
    <x v="12"/>
    <x v="2"/>
    <n v="57.4"/>
    <x v="231"/>
    <d v="2025-01-10T00:00:00"/>
    <x v="14"/>
    <x v="2"/>
    <x v="0"/>
    <x v="2"/>
    <s v="California"/>
    <x v="29"/>
    <x v="2"/>
    <x v="1"/>
    <x v="2"/>
  </r>
  <r>
    <x v="241"/>
    <x v="2"/>
    <x v="9"/>
    <n v="58.1"/>
    <x v="232"/>
    <d v="2025-01-10T00:00:00"/>
    <x v="9"/>
    <x v="1"/>
    <x v="2"/>
    <x v="2"/>
    <s v="California"/>
    <x v="6"/>
    <x v="7"/>
    <x v="1"/>
    <x v="1"/>
  </r>
  <r>
    <x v="242"/>
    <x v="5"/>
    <x v="2"/>
    <n v="31.8"/>
    <x v="233"/>
    <d v="2025-01-11T00:00:00"/>
    <x v="14"/>
    <x v="1"/>
    <x v="3"/>
    <x v="0"/>
    <s v="California"/>
    <x v="6"/>
    <x v="1"/>
    <x v="1"/>
    <x v="1"/>
  </r>
  <r>
    <x v="243"/>
    <x v="4"/>
    <x v="2"/>
    <n v="31.5"/>
    <x v="234"/>
    <d v="2025-01-11T00:00:00"/>
    <x v="16"/>
    <x v="1"/>
    <x v="0"/>
    <x v="1"/>
    <s v="California"/>
    <x v="8"/>
    <x v="2"/>
    <x v="1"/>
    <x v="1"/>
  </r>
  <r>
    <x v="244"/>
    <x v="6"/>
    <x v="3"/>
    <n v="55.9"/>
    <x v="235"/>
    <d v="2025-01-11T00:00:00"/>
    <x v="11"/>
    <x v="2"/>
    <x v="1"/>
    <x v="2"/>
    <s v="California"/>
    <x v="8"/>
    <x v="5"/>
    <x v="1"/>
    <x v="2"/>
  </r>
  <r>
    <x v="245"/>
    <x v="8"/>
    <x v="1"/>
    <n v="36.4"/>
    <x v="236"/>
    <d v="2025-01-11T00:00:00"/>
    <x v="12"/>
    <x v="1"/>
    <x v="1"/>
    <x v="1"/>
    <s v="California"/>
    <x v="9"/>
    <x v="3"/>
    <x v="1"/>
    <x v="1"/>
  </r>
  <r>
    <x v="246"/>
    <x v="1"/>
    <x v="9"/>
    <n v="47.3"/>
    <x v="237"/>
    <d v="2025-01-11T00:00:00"/>
    <x v="16"/>
    <x v="1"/>
    <x v="2"/>
    <x v="0"/>
    <s v="California"/>
    <x v="10"/>
    <x v="2"/>
    <x v="1"/>
    <x v="1"/>
  </r>
  <r>
    <x v="247"/>
    <x v="6"/>
    <x v="2"/>
    <n v="82.5"/>
    <x v="238"/>
    <d v="2025-01-11T00:00:00"/>
    <x v="12"/>
    <x v="1"/>
    <x v="0"/>
    <x v="0"/>
    <s v="California"/>
    <x v="11"/>
    <x v="3"/>
    <x v="1"/>
    <x v="1"/>
  </r>
  <r>
    <x v="248"/>
    <x v="0"/>
    <x v="0"/>
    <n v="14.3"/>
    <x v="239"/>
    <d v="2025-01-11T00:00:00"/>
    <x v="12"/>
    <x v="2"/>
    <x v="0"/>
    <x v="0"/>
    <s v="California"/>
    <x v="21"/>
    <x v="3"/>
    <x v="1"/>
    <x v="2"/>
  </r>
  <r>
    <x v="249"/>
    <x v="2"/>
    <x v="13"/>
    <n v="57.6"/>
    <x v="240"/>
    <d v="2025-01-11T00:00:00"/>
    <x v="17"/>
    <x v="2"/>
    <x v="0"/>
    <x v="0"/>
    <s v="California"/>
    <x v="21"/>
    <x v="12"/>
    <x v="1"/>
    <x v="2"/>
  </r>
  <r>
    <x v="250"/>
    <x v="2"/>
    <x v="2"/>
    <n v="142.4"/>
    <x v="241"/>
    <d v="2025-01-11T00:00:00"/>
    <x v="14"/>
    <x v="1"/>
    <x v="4"/>
    <x v="1"/>
    <s v="California"/>
    <x v="21"/>
    <x v="1"/>
    <x v="1"/>
    <x v="1"/>
  </r>
  <r>
    <x v="251"/>
    <x v="12"/>
    <x v="0"/>
    <n v="30.2"/>
    <x v="242"/>
    <d v="2025-01-11T00:00:00"/>
    <x v="11"/>
    <x v="1"/>
    <x v="1"/>
    <x v="2"/>
    <s v="California"/>
    <x v="2"/>
    <x v="5"/>
    <x v="1"/>
    <x v="1"/>
  </r>
  <r>
    <x v="252"/>
    <x v="18"/>
    <x v="2"/>
    <n v="65.3"/>
    <x v="243"/>
    <d v="2025-01-11T00:00:00"/>
    <x v="12"/>
    <x v="3"/>
    <x v="1"/>
    <x v="0"/>
    <s v="California"/>
    <x v="33"/>
    <x v="3"/>
    <x v="1"/>
    <x v="3"/>
  </r>
  <r>
    <x v="253"/>
    <x v="0"/>
    <x v="1"/>
    <n v="33.4"/>
    <x v="119"/>
    <d v="2025-01-11T00:00:00"/>
    <x v="12"/>
    <x v="1"/>
    <x v="1"/>
    <x v="1"/>
    <s v="California"/>
    <x v="22"/>
    <x v="3"/>
    <x v="1"/>
    <x v="1"/>
  </r>
  <r>
    <x v="254"/>
    <x v="7"/>
    <x v="1"/>
    <n v="45.1"/>
    <x v="244"/>
    <d v="2025-01-11T00:00:00"/>
    <x v="18"/>
    <x v="1"/>
    <x v="0"/>
    <x v="0"/>
    <s v="California"/>
    <x v="34"/>
    <x v="9"/>
    <x v="1"/>
    <x v="1"/>
  </r>
  <r>
    <x v="255"/>
    <x v="2"/>
    <x v="3"/>
    <n v="61.7"/>
    <x v="245"/>
    <d v="2025-01-11T00:00:00"/>
    <x v="14"/>
    <x v="2"/>
    <x v="4"/>
    <x v="0"/>
    <s v="California"/>
    <x v="3"/>
    <x v="1"/>
    <x v="1"/>
    <x v="2"/>
  </r>
  <r>
    <x v="256"/>
    <x v="9"/>
    <x v="2"/>
    <n v="45.1"/>
    <x v="246"/>
    <d v="2025-01-12T00:00:00"/>
    <x v="14"/>
    <x v="1"/>
    <x v="4"/>
    <x v="1"/>
    <s v="California"/>
    <x v="3"/>
    <x v="3"/>
    <x v="2"/>
    <x v="1"/>
  </r>
  <r>
    <x v="257"/>
    <x v="15"/>
    <x v="9"/>
    <n v="22.7"/>
    <x v="247"/>
    <d v="2025-01-12T00:00:00"/>
    <x v="10"/>
    <x v="1"/>
    <x v="0"/>
    <x v="2"/>
    <s v="California"/>
    <x v="35"/>
    <x v="0"/>
    <x v="2"/>
    <x v="1"/>
  </r>
  <r>
    <x v="258"/>
    <x v="8"/>
    <x v="0"/>
    <n v="17.600000000000001"/>
    <x v="248"/>
    <d v="2025-01-12T00:00:00"/>
    <x v="14"/>
    <x v="2"/>
    <x v="0"/>
    <x v="2"/>
    <s v="California"/>
    <x v="23"/>
    <x v="3"/>
    <x v="2"/>
    <x v="2"/>
  </r>
  <r>
    <x v="259"/>
    <x v="14"/>
    <x v="1"/>
    <n v="11.3"/>
    <x v="249"/>
    <d v="2025-01-12T00:00:00"/>
    <x v="11"/>
    <x v="2"/>
    <x v="3"/>
    <x v="2"/>
    <s v="California"/>
    <x v="23"/>
    <x v="2"/>
    <x v="2"/>
    <x v="2"/>
  </r>
  <r>
    <x v="260"/>
    <x v="6"/>
    <x v="2"/>
    <n v="53.4"/>
    <x v="250"/>
    <d v="2025-01-12T00:00:00"/>
    <x v="11"/>
    <x v="1"/>
    <x v="3"/>
    <x v="2"/>
    <s v="California"/>
    <x v="36"/>
    <x v="2"/>
    <x v="2"/>
    <x v="1"/>
  </r>
  <r>
    <x v="261"/>
    <x v="6"/>
    <x v="5"/>
    <n v="51.1"/>
    <x v="251"/>
    <d v="2025-01-12T00:00:00"/>
    <x v="16"/>
    <x v="2"/>
    <x v="2"/>
    <x v="2"/>
    <s v="California"/>
    <x v="8"/>
    <x v="1"/>
    <x v="2"/>
    <x v="2"/>
  </r>
  <r>
    <x v="262"/>
    <x v="8"/>
    <x v="1"/>
    <n v="27.5"/>
    <x v="252"/>
    <d v="2025-01-12T00:00:00"/>
    <x v="14"/>
    <x v="1"/>
    <x v="4"/>
    <x v="1"/>
    <s v="California"/>
    <x v="8"/>
    <x v="3"/>
    <x v="2"/>
    <x v="1"/>
  </r>
  <r>
    <x v="263"/>
    <x v="9"/>
    <x v="0"/>
    <n v="33.5"/>
    <x v="253"/>
    <d v="2025-01-12T00:00:00"/>
    <x v="16"/>
    <x v="2"/>
    <x v="0"/>
    <x v="4"/>
    <s v="California"/>
    <x v="8"/>
    <x v="1"/>
    <x v="2"/>
    <x v="2"/>
  </r>
  <r>
    <x v="264"/>
    <x v="4"/>
    <x v="0"/>
    <n v="59.5"/>
    <x v="254"/>
    <d v="2025-01-12T00:00:00"/>
    <x v="12"/>
    <x v="1"/>
    <x v="0"/>
    <x v="2"/>
    <s v="California"/>
    <x v="18"/>
    <x v="7"/>
    <x v="2"/>
    <x v="1"/>
  </r>
  <r>
    <x v="265"/>
    <x v="17"/>
    <x v="12"/>
    <n v="23.5"/>
    <x v="255"/>
    <d v="2025-01-12T00:00:00"/>
    <x v="14"/>
    <x v="2"/>
    <x v="3"/>
    <x v="3"/>
    <s v="California"/>
    <x v="19"/>
    <x v="3"/>
    <x v="2"/>
    <x v="2"/>
  </r>
  <r>
    <x v="266"/>
    <x v="6"/>
    <x v="0"/>
    <n v="49.7"/>
    <x v="256"/>
    <d v="2025-01-12T00:00:00"/>
    <x v="14"/>
    <x v="0"/>
    <x v="1"/>
    <x v="2"/>
    <s v="California"/>
    <x v="20"/>
    <x v="3"/>
    <x v="2"/>
    <x v="0"/>
  </r>
  <r>
    <x v="267"/>
    <x v="6"/>
    <x v="12"/>
    <n v="44.2"/>
    <x v="257"/>
    <d v="2025-01-12T00:00:00"/>
    <x v="11"/>
    <x v="2"/>
    <x v="0"/>
    <x v="2"/>
    <s v="California"/>
    <x v="21"/>
    <x v="2"/>
    <x v="2"/>
    <x v="2"/>
  </r>
  <r>
    <x v="268"/>
    <x v="8"/>
    <x v="0"/>
    <n v="22.1"/>
    <x v="258"/>
    <d v="2025-01-12T00:00:00"/>
    <x v="15"/>
    <x v="2"/>
    <x v="1"/>
    <x v="1"/>
    <s v="California"/>
    <x v="33"/>
    <x v="5"/>
    <x v="2"/>
    <x v="2"/>
  </r>
  <r>
    <x v="269"/>
    <x v="6"/>
    <x v="2"/>
    <n v="90.9"/>
    <x v="259"/>
    <d v="2025-01-12T00:00:00"/>
    <x v="14"/>
    <x v="2"/>
    <x v="2"/>
    <x v="4"/>
    <s v="California"/>
    <x v="3"/>
    <x v="3"/>
    <x v="2"/>
    <x v="2"/>
  </r>
  <r>
    <x v="270"/>
    <x v="8"/>
    <x v="2"/>
    <n v="44.5"/>
    <x v="260"/>
    <d v="2025-01-12T00:00:00"/>
    <x v="14"/>
    <x v="2"/>
    <x v="1"/>
    <x v="0"/>
    <s v="California"/>
    <x v="3"/>
    <x v="3"/>
    <x v="2"/>
    <x v="2"/>
  </r>
  <r>
    <x v="271"/>
    <x v="9"/>
    <x v="13"/>
    <n v="32.299999999999997"/>
    <x v="261"/>
    <d v="2025-01-12T00:00:00"/>
    <x v="15"/>
    <x v="2"/>
    <x v="0"/>
    <x v="0"/>
    <s v="California"/>
    <x v="3"/>
    <x v="5"/>
    <x v="2"/>
    <x v="2"/>
  </r>
  <r>
    <x v="272"/>
    <x v="17"/>
    <x v="2"/>
    <n v="87.5"/>
    <x v="175"/>
    <d v="2025-01-12T00:00:00"/>
    <x v="14"/>
    <x v="2"/>
    <x v="1"/>
    <x v="1"/>
    <s v="California"/>
    <x v="3"/>
    <x v="3"/>
    <x v="2"/>
    <x v="2"/>
  </r>
  <r>
    <x v="273"/>
    <x v="16"/>
    <x v="9"/>
    <n v="48.7"/>
    <x v="262"/>
    <d v="2025-01-12T00:00:00"/>
    <x v="14"/>
    <x v="1"/>
    <x v="2"/>
    <x v="0"/>
    <s v="California"/>
    <x v="3"/>
    <x v="3"/>
    <x v="2"/>
    <x v="1"/>
  </r>
  <r>
    <x v="274"/>
    <x v="0"/>
    <x v="9"/>
    <n v="22.5"/>
    <x v="158"/>
    <d v="2025-01-12T00:00:00"/>
    <x v="14"/>
    <x v="1"/>
    <x v="0"/>
    <x v="0"/>
    <s v="California"/>
    <x v="3"/>
    <x v="3"/>
    <x v="2"/>
    <x v="1"/>
  </r>
  <r>
    <x v="275"/>
    <x v="1"/>
    <x v="8"/>
    <n v="65.900000000000006"/>
    <x v="263"/>
    <d v="2025-01-12T00:00:00"/>
    <x v="11"/>
    <x v="2"/>
    <x v="1"/>
    <x v="2"/>
    <s v="California"/>
    <x v="3"/>
    <x v="2"/>
    <x v="2"/>
    <x v="2"/>
  </r>
  <r>
    <x v="276"/>
    <x v="6"/>
    <x v="9"/>
    <n v="41.9"/>
    <x v="264"/>
    <d v="2025-01-12T00:00:00"/>
    <x v="18"/>
    <x v="0"/>
    <x v="0"/>
    <x v="0"/>
    <s v="California"/>
    <x v="3"/>
    <x v="6"/>
    <x v="2"/>
    <x v="0"/>
  </r>
  <r>
    <x v="277"/>
    <x v="1"/>
    <x v="9"/>
    <n v="67.5"/>
    <x v="265"/>
    <d v="2025-01-12T00:00:00"/>
    <x v="14"/>
    <x v="2"/>
    <x v="0"/>
    <x v="2"/>
    <s v="California"/>
    <x v="3"/>
    <x v="3"/>
    <x v="2"/>
    <x v="2"/>
  </r>
  <r>
    <x v="278"/>
    <x v="9"/>
    <x v="0"/>
    <n v="60.4"/>
    <x v="266"/>
    <d v="2025-01-13T00:00:00"/>
    <x v="11"/>
    <x v="2"/>
    <x v="1"/>
    <x v="1"/>
    <s v="California"/>
    <x v="3"/>
    <x v="1"/>
    <x v="2"/>
    <x v="2"/>
  </r>
  <r>
    <x v="279"/>
    <x v="1"/>
    <x v="3"/>
    <n v="30.4"/>
    <x v="267"/>
    <d v="2025-01-13T00:00:00"/>
    <x v="15"/>
    <x v="2"/>
    <x v="4"/>
    <x v="0"/>
    <s v="California"/>
    <x v="3"/>
    <x v="2"/>
    <x v="2"/>
    <x v="2"/>
  </r>
  <r>
    <x v="280"/>
    <x v="14"/>
    <x v="1"/>
    <n v="24.5"/>
    <x v="268"/>
    <d v="2025-01-13T00:00:00"/>
    <x v="16"/>
    <x v="1"/>
    <x v="3"/>
    <x v="2"/>
    <s v="California"/>
    <x v="3"/>
    <x v="3"/>
    <x v="2"/>
    <x v="1"/>
  </r>
  <r>
    <x v="281"/>
    <x v="2"/>
    <x v="2"/>
    <n v="105.9"/>
    <x v="269"/>
    <d v="2025-01-13T00:00:00"/>
    <x v="13"/>
    <x v="1"/>
    <x v="0"/>
    <x v="0"/>
    <s v="California"/>
    <x v="37"/>
    <x v="0"/>
    <x v="2"/>
    <x v="1"/>
  </r>
  <r>
    <x v="282"/>
    <x v="10"/>
    <x v="25"/>
    <n v="25.9"/>
    <x v="270"/>
    <d v="2025-01-13T00:00:00"/>
    <x v="16"/>
    <x v="2"/>
    <x v="4"/>
    <x v="0"/>
    <s v="California"/>
    <x v="23"/>
    <x v="3"/>
    <x v="2"/>
    <x v="2"/>
  </r>
  <r>
    <x v="283"/>
    <x v="6"/>
    <x v="2"/>
    <n v="66.8"/>
    <x v="271"/>
    <d v="2025-01-13T00:00:00"/>
    <x v="14"/>
    <x v="1"/>
    <x v="0"/>
    <x v="0"/>
    <s v="California"/>
    <x v="23"/>
    <x v="7"/>
    <x v="2"/>
    <x v="1"/>
  </r>
  <r>
    <x v="284"/>
    <x v="6"/>
    <x v="2"/>
    <n v="112.3"/>
    <x v="272"/>
    <d v="2025-01-13T00:00:00"/>
    <x v="16"/>
    <x v="1"/>
    <x v="2"/>
    <x v="4"/>
    <s v="California"/>
    <x v="6"/>
    <x v="3"/>
    <x v="2"/>
    <x v="1"/>
  </r>
  <r>
    <x v="285"/>
    <x v="1"/>
    <x v="13"/>
    <n v="94.1"/>
    <x v="273"/>
    <d v="2025-01-13T00:00:00"/>
    <x v="16"/>
    <x v="2"/>
    <x v="0"/>
    <x v="4"/>
    <s v="California"/>
    <x v="6"/>
    <x v="3"/>
    <x v="2"/>
    <x v="2"/>
  </r>
  <r>
    <x v="286"/>
    <x v="5"/>
    <x v="0"/>
    <n v="40.700000000000003"/>
    <x v="274"/>
    <d v="2025-01-13T00:00:00"/>
    <x v="15"/>
    <x v="2"/>
    <x v="2"/>
    <x v="0"/>
    <s v="California"/>
    <x v="6"/>
    <x v="2"/>
    <x v="2"/>
    <x v="2"/>
  </r>
  <r>
    <x v="287"/>
    <x v="3"/>
    <x v="1"/>
    <n v="71.400000000000006"/>
    <x v="275"/>
    <d v="2025-01-13T00:00:00"/>
    <x v="16"/>
    <x v="1"/>
    <x v="0"/>
    <x v="0"/>
    <s v="California"/>
    <x v="7"/>
    <x v="3"/>
    <x v="2"/>
    <x v="1"/>
  </r>
  <r>
    <x v="288"/>
    <x v="0"/>
    <x v="16"/>
    <n v="15.6"/>
    <x v="276"/>
    <d v="2025-01-13T00:00:00"/>
    <x v="16"/>
    <x v="1"/>
    <x v="1"/>
    <x v="3"/>
    <s v="California"/>
    <x v="8"/>
    <x v="3"/>
    <x v="2"/>
    <x v="1"/>
  </r>
  <r>
    <x v="289"/>
    <x v="10"/>
    <x v="12"/>
    <n v="37.799999999999997"/>
    <x v="277"/>
    <d v="2025-01-13T00:00:00"/>
    <x v="16"/>
    <x v="1"/>
    <x v="2"/>
    <x v="2"/>
    <s v="California"/>
    <x v="8"/>
    <x v="3"/>
    <x v="2"/>
    <x v="1"/>
  </r>
  <r>
    <x v="290"/>
    <x v="4"/>
    <x v="2"/>
    <n v="28.1"/>
    <x v="278"/>
    <d v="2025-01-13T00:00:00"/>
    <x v="10"/>
    <x v="1"/>
    <x v="0"/>
    <x v="0"/>
    <s v="California"/>
    <x v="8"/>
    <x v="5"/>
    <x v="2"/>
    <x v="1"/>
  </r>
  <r>
    <x v="291"/>
    <x v="7"/>
    <x v="13"/>
    <n v="51.4"/>
    <x v="279"/>
    <d v="2025-01-13T00:00:00"/>
    <x v="10"/>
    <x v="1"/>
    <x v="0"/>
    <x v="0"/>
    <s v="California"/>
    <x v="8"/>
    <x v="5"/>
    <x v="2"/>
    <x v="1"/>
  </r>
  <r>
    <x v="292"/>
    <x v="7"/>
    <x v="1"/>
    <n v="97.7"/>
    <x v="280"/>
    <d v="2025-01-13T00:00:00"/>
    <x v="11"/>
    <x v="2"/>
    <x v="4"/>
    <x v="2"/>
    <s v="California"/>
    <x v="17"/>
    <x v="1"/>
    <x v="2"/>
    <x v="2"/>
  </r>
  <r>
    <x v="293"/>
    <x v="1"/>
    <x v="12"/>
    <n v="63.8"/>
    <x v="281"/>
    <d v="2025-01-13T00:00:00"/>
    <x v="16"/>
    <x v="1"/>
    <x v="2"/>
    <x v="0"/>
    <s v="California"/>
    <x v="38"/>
    <x v="3"/>
    <x v="2"/>
    <x v="1"/>
  </r>
  <r>
    <x v="294"/>
    <x v="13"/>
    <x v="1"/>
    <n v="20.100000000000001"/>
    <x v="282"/>
    <d v="2025-01-13T00:00:00"/>
    <x v="11"/>
    <x v="1"/>
    <x v="0"/>
    <x v="2"/>
    <s v="California"/>
    <x v="20"/>
    <x v="1"/>
    <x v="2"/>
    <x v="1"/>
  </r>
  <r>
    <x v="295"/>
    <x v="11"/>
    <x v="2"/>
    <n v="50.4"/>
    <x v="277"/>
    <d v="2025-01-13T00:00:00"/>
    <x v="15"/>
    <x v="2"/>
    <x v="3"/>
    <x v="0"/>
    <s v="California"/>
    <x v="13"/>
    <x v="2"/>
    <x v="2"/>
    <x v="2"/>
  </r>
  <r>
    <x v="296"/>
    <x v="0"/>
    <x v="0"/>
    <n v="16.2"/>
    <x v="283"/>
    <d v="2025-01-13T00:00:00"/>
    <x v="19"/>
    <x v="2"/>
    <x v="1"/>
    <x v="0"/>
    <s v="California"/>
    <x v="1"/>
    <x v="10"/>
    <x v="2"/>
    <x v="2"/>
  </r>
  <r>
    <x v="297"/>
    <x v="6"/>
    <x v="3"/>
    <n v="80.900000000000006"/>
    <x v="284"/>
    <d v="2025-01-13T00:00:00"/>
    <x v="11"/>
    <x v="1"/>
    <x v="4"/>
    <x v="4"/>
    <s v="California"/>
    <x v="2"/>
    <x v="1"/>
    <x v="2"/>
    <x v="1"/>
  </r>
  <r>
    <x v="298"/>
    <x v="9"/>
    <x v="13"/>
    <n v="95.2"/>
    <x v="285"/>
    <d v="2025-01-13T00:00:00"/>
    <x v="11"/>
    <x v="2"/>
    <x v="0"/>
    <x v="2"/>
    <s v="California"/>
    <x v="2"/>
    <x v="1"/>
    <x v="2"/>
    <x v="2"/>
  </r>
  <r>
    <x v="299"/>
    <x v="5"/>
    <x v="8"/>
    <n v="70.400000000000006"/>
    <x v="286"/>
    <d v="2025-01-13T00:00:00"/>
    <x v="16"/>
    <x v="1"/>
    <x v="1"/>
    <x v="1"/>
    <s v="California"/>
    <x v="3"/>
    <x v="3"/>
    <x v="2"/>
    <x v="1"/>
  </r>
  <r>
    <x v="300"/>
    <x v="0"/>
    <x v="9"/>
    <n v="10.7"/>
    <x v="287"/>
    <d v="2025-01-13T00:00:00"/>
    <x v="10"/>
    <x v="2"/>
    <x v="2"/>
    <x v="0"/>
    <s v="California"/>
    <x v="3"/>
    <x v="5"/>
    <x v="2"/>
    <x v="2"/>
  </r>
  <r>
    <x v="301"/>
    <x v="8"/>
    <x v="9"/>
    <n v="19.600000000000001"/>
    <x v="11"/>
    <d v="2025-01-13T00:00:00"/>
    <x v="11"/>
    <x v="2"/>
    <x v="0"/>
    <x v="3"/>
    <s v="California"/>
    <x v="3"/>
    <x v="1"/>
    <x v="2"/>
    <x v="2"/>
  </r>
  <r>
    <x v="302"/>
    <x v="8"/>
    <x v="5"/>
    <n v="34.700000000000003"/>
    <x v="288"/>
    <d v="2025-01-13T00:00:00"/>
    <x v="11"/>
    <x v="2"/>
    <x v="0"/>
    <x v="2"/>
    <s v="California"/>
    <x v="3"/>
    <x v="1"/>
    <x v="2"/>
    <x v="2"/>
  </r>
  <r>
    <x v="303"/>
    <x v="10"/>
    <x v="11"/>
    <n v="34.1"/>
    <x v="289"/>
    <d v="2025-01-13T00:00:00"/>
    <x v="16"/>
    <x v="2"/>
    <x v="4"/>
    <x v="1"/>
    <s v="California"/>
    <x v="3"/>
    <x v="3"/>
    <x v="2"/>
    <x v="2"/>
  </r>
  <r>
    <x v="304"/>
    <x v="0"/>
    <x v="26"/>
    <n v="29.3"/>
    <x v="290"/>
    <d v="2025-01-13T00:00:00"/>
    <x v="14"/>
    <x v="1"/>
    <x v="0"/>
    <x v="1"/>
    <s v="California"/>
    <x v="3"/>
    <x v="7"/>
    <x v="2"/>
    <x v="1"/>
  </r>
  <r>
    <x v="305"/>
    <x v="1"/>
    <x v="0"/>
    <n v="55.2"/>
    <x v="291"/>
    <d v="2025-01-13T00:00:00"/>
    <x v="16"/>
    <x v="2"/>
    <x v="0"/>
    <x v="1"/>
    <s v="California"/>
    <x v="3"/>
    <x v="3"/>
    <x v="2"/>
    <x v="2"/>
  </r>
  <r>
    <x v="306"/>
    <x v="18"/>
    <x v="2"/>
    <n v="26"/>
    <x v="292"/>
    <d v="2025-01-13T00:00:00"/>
    <x v="15"/>
    <x v="2"/>
    <x v="0"/>
    <x v="2"/>
    <s v="California"/>
    <x v="3"/>
    <x v="2"/>
    <x v="2"/>
    <x v="2"/>
  </r>
  <r>
    <x v="307"/>
    <x v="14"/>
    <x v="1"/>
    <n v="14.2"/>
    <x v="293"/>
    <d v="2025-01-13T00:00:00"/>
    <x v="13"/>
    <x v="2"/>
    <x v="3"/>
    <x v="0"/>
    <s v="California"/>
    <x v="39"/>
    <x v="0"/>
    <x v="2"/>
    <x v="2"/>
  </r>
  <r>
    <x v="308"/>
    <x v="8"/>
    <x v="11"/>
    <n v="22.7"/>
    <x v="294"/>
    <d v="2025-01-14T00:00:00"/>
    <x v="11"/>
    <x v="1"/>
    <x v="1"/>
    <x v="0"/>
    <s v="California"/>
    <x v="6"/>
    <x v="3"/>
    <x v="2"/>
    <x v="1"/>
  </r>
  <r>
    <x v="309"/>
    <x v="0"/>
    <x v="20"/>
    <n v="19.8"/>
    <x v="295"/>
    <d v="2025-01-14T00:00:00"/>
    <x v="16"/>
    <x v="2"/>
    <x v="0"/>
    <x v="2"/>
    <s v="California"/>
    <x v="6"/>
    <x v="7"/>
    <x v="2"/>
    <x v="2"/>
  </r>
  <r>
    <x v="310"/>
    <x v="0"/>
    <x v="2"/>
    <n v="31.7"/>
    <x v="296"/>
    <d v="2025-01-14T00:00:00"/>
    <x v="11"/>
    <x v="1"/>
    <x v="2"/>
    <x v="0"/>
    <s v="California"/>
    <x v="6"/>
    <x v="3"/>
    <x v="2"/>
    <x v="1"/>
  </r>
  <r>
    <x v="311"/>
    <x v="8"/>
    <x v="12"/>
    <n v="30.4"/>
    <x v="297"/>
    <d v="2025-01-14T00:00:00"/>
    <x v="13"/>
    <x v="1"/>
    <x v="0"/>
    <x v="0"/>
    <s v="California"/>
    <x v="6"/>
    <x v="5"/>
    <x v="2"/>
    <x v="1"/>
  </r>
  <r>
    <x v="312"/>
    <x v="0"/>
    <x v="12"/>
    <n v="25.6"/>
    <x v="298"/>
    <d v="2025-01-14T00:00:00"/>
    <x v="11"/>
    <x v="1"/>
    <x v="3"/>
    <x v="0"/>
    <s v="California"/>
    <x v="8"/>
    <x v="3"/>
    <x v="2"/>
    <x v="1"/>
  </r>
  <r>
    <x v="313"/>
    <x v="5"/>
    <x v="1"/>
    <n v="34.9"/>
    <x v="299"/>
    <d v="2025-01-14T00:00:00"/>
    <x v="11"/>
    <x v="2"/>
    <x v="2"/>
    <x v="0"/>
    <s v="California"/>
    <x v="9"/>
    <x v="3"/>
    <x v="2"/>
    <x v="2"/>
  </r>
  <r>
    <x v="314"/>
    <x v="7"/>
    <x v="13"/>
    <n v="42.7"/>
    <x v="300"/>
    <d v="2025-01-14T00:00:00"/>
    <x v="10"/>
    <x v="1"/>
    <x v="2"/>
    <x v="1"/>
    <s v="California"/>
    <x v="11"/>
    <x v="2"/>
    <x v="2"/>
    <x v="1"/>
  </r>
  <r>
    <x v="315"/>
    <x v="8"/>
    <x v="0"/>
    <n v="23.9"/>
    <x v="301"/>
    <d v="2025-01-14T00:00:00"/>
    <x v="15"/>
    <x v="2"/>
    <x v="3"/>
    <x v="0"/>
    <s v="California"/>
    <x v="11"/>
    <x v="1"/>
    <x v="2"/>
    <x v="2"/>
  </r>
  <r>
    <x v="316"/>
    <x v="6"/>
    <x v="0"/>
    <n v="124.3"/>
    <x v="302"/>
    <d v="2025-01-14T00:00:00"/>
    <x v="11"/>
    <x v="0"/>
    <x v="2"/>
    <x v="1"/>
    <s v="California"/>
    <x v="21"/>
    <x v="3"/>
    <x v="2"/>
    <x v="0"/>
  </r>
  <r>
    <x v="317"/>
    <x v="8"/>
    <x v="13"/>
    <n v="35.9"/>
    <x v="303"/>
    <d v="2025-01-14T00:00:00"/>
    <x v="11"/>
    <x v="2"/>
    <x v="0"/>
    <x v="1"/>
    <s v="California"/>
    <x v="1"/>
    <x v="3"/>
    <x v="2"/>
    <x v="2"/>
  </r>
  <r>
    <x v="318"/>
    <x v="2"/>
    <x v="1"/>
    <n v="69.099999999999994"/>
    <x v="304"/>
    <d v="2025-01-14T00:00:00"/>
    <x v="10"/>
    <x v="2"/>
    <x v="0"/>
    <x v="2"/>
    <s v="California"/>
    <x v="22"/>
    <x v="2"/>
    <x v="2"/>
    <x v="2"/>
  </r>
  <r>
    <x v="319"/>
    <x v="7"/>
    <x v="0"/>
    <n v="58.4"/>
    <x v="305"/>
    <d v="2025-01-14T00:00:00"/>
    <x v="13"/>
    <x v="1"/>
    <x v="0"/>
    <x v="0"/>
    <s v="California"/>
    <x v="22"/>
    <x v="5"/>
    <x v="2"/>
    <x v="1"/>
  </r>
  <r>
    <x v="320"/>
    <x v="5"/>
    <x v="0"/>
    <n v="65.2"/>
    <x v="221"/>
    <d v="2025-01-14T00:00:00"/>
    <x v="15"/>
    <x v="3"/>
    <x v="4"/>
    <x v="4"/>
    <s v="California"/>
    <x v="3"/>
    <x v="1"/>
    <x v="2"/>
    <x v="3"/>
  </r>
  <r>
    <x v="321"/>
    <x v="8"/>
    <x v="14"/>
    <n v="32.700000000000003"/>
    <x v="306"/>
    <d v="2025-01-14T00:00:00"/>
    <x v="20"/>
    <x v="0"/>
    <x v="4"/>
    <x v="0"/>
    <s v="California"/>
    <x v="3"/>
    <x v="6"/>
    <x v="2"/>
    <x v="0"/>
  </r>
  <r>
    <x v="322"/>
    <x v="10"/>
    <x v="3"/>
    <n v="24.4"/>
    <x v="307"/>
    <d v="2025-01-14T00:00:00"/>
    <x v="11"/>
    <x v="2"/>
    <x v="0"/>
    <x v="0"/>
    <s v="California"/>
    <x v="3"/>
    <x v="3"/>
    <x v="2"/>
    <x v="2"/>
  </r>
  <r>
    <x v="323"/>
    <x v="14"/>
    <x v="1"/>
    <n v="50.4"/>
    <x v="90"/>
    <d v="2025-01-14T00:00:00"/>
    <x v="21"/>
    <x v="1"/>
    <x v="0"/>
    <x v="1"/>
    <s v="California"/>
    <x v="3"/>
    <x v="4"/>
    <x v="2"/>
    <x v="1"/>
  </r>
  <r>
    <x v="324"/>
    <x v="1"/>
    <x v="1"/>
    <n v="100"/>
    <x v="308"/>
    <d v="2025-01-14T00:00:00"/>
    <x v="11"/>
    <x v="2"/>
    <x v="0"/>
    <x v="0"/>
    <s v="California"/>
    <x v="3"/>
    <x v="3"/>
    <x v="2"/>
    <x v="2"/>
  </r>
  <r>
    <x v="325"/>
    <x v="10"/>
    <x v="2"/>
    <n v="43"/>
    <x v="309"/>
    <d v="2025-01-15T00:00:00"/>
    <x v="11"/>
    <x v="2"/>
    <x v="2"/>
    <x v="1"/>
    <s v="California"/>
    <x v="3"/>
    <x v="7"/>
    <x v="2"/>
    <x v="2"/>
  </r>
  <r>
    <x v="326"/>
    <x v="1"/>
    <x v="9"/>
    <n v="64.400000000000006"/>
    <x v="310"/>
    <d v="2025-01-15T00:00:00"/>
    <x v="10"/>
    <x v="1"/>
    <x v="2"/>
    <x v="1"/>
    <s v="California"/>
    <x v="3"/>
    <x v="1"/>
    <x v="2"/>
    <x v="1"/>
  </r>
  <r>
    <x v="327"/>
    <x v="18"/>
    <x v="1"/>
    <n v="57.4"/>
    <x v="311"/>
    <d v="2025-01-15T00:00:00"/>
    <x v="15"/>
    <x v="1"/>
    <x v="2"/>
    <x v="1"/>
    <s v="California"/>
    <x v="3"/>
    <x v="3"/>
    <x v="2"/>
    <x v="1"/>
  </r>
  <r>
    <x v="328"/>
    <x v="2"/>
    <x v="2"/>
    <n v="55.1"/>
    <x v="312"/>
    <d v="2025-01-15T00:00:00"/>
    <x v="13"/>
    <x v="2"/>
    <x v="1"/>
    <x v="0"/>
    <s v="California"/>
    <x v="3"/>
    <x v="2"/>
    <x v="2"/>
    <x v="2"/>
  </r>
  <r>
    <x v="329"/>
    <x v="7"/>
    <x v="12"/>
    <n v="45.4"/>
    <x v="106"/>
    <d v="2025-01-15T00:00:00"/>
    <x v="15"/>
    <x v="2"/>
    <x v="1"/>
    <x v="0"/>
    <s v="California"/>
    <x v="3"/>
    <x v="3"/>
    <x v="2"/>
    <x v="2"/>
  </r>
  <r>
    <x v="330"/>
    <x v="3"/>
    <x v="2"/>
    <n v="93.3"/>
    <x v="313"/>
    <d v="2025-01-15T00:00:00"/>
    <x v="15"/>
    <x v="2"/>
    <x v="0"/>
    <x v="0"/>
    <s v="California"/>
    <x v="40"/>
    <x v="3"/>
    <x v="2"/>
    <x v="2"/>
  </r>
  <r>
    <x v="331"/>
    <x v="2"/>
    <x v="10"/>
    <n v="158.19999999999999"/>
    <x v="314"/>
    <d v="2025-01-15T00:00:00"/>
    <x v="15"/>
    <x v="2"/>
    <x v="1"/>
    <x v="2"/>
    <s v="California"/>
    <x v="16"/>
    <x v="3"/>
    <x v="2"/>
    <x v="2"/>
  </r>
  <r>
    <x v="332"/>
    <x v="2"/>
    <x v="1"/>
    <n v="74.900000000000006"/>
    <x v="315"/>
    <d v="2025-01-15T00:00:00"/>
    <x v="10"/>
    <x v="1"/>
    <x v="3"/>
    <x v="0"/>
    <s v="California"/>
    <x v="6"/>
    <x v="1"/>
    <x v="2"/>
    <x v="1"/>
  </r>
  <r>
    <x v="333"/>
    <x v="8"/>
    <x v="3"/>
    <n v="26"/>
    <x v="316"/>
    <d v="2025-01-15T00:00:00"/>
    <x v="13"/>
    <x v="2"/>
    <x v="1"/>
    <x v="0"/>
    <s v="California"/>
    <x v="8"/>
    <x v="2"/>
    <x v="2"/>
    <x v="2"/>
  </r>
  <r>
    <x v="334"/>
    <x v="9"/>
    <x v="13"/>
    <n v="37.5"/>
    <x v="317"/>
    <d v="2025-01-15T00:00:00"/>
    <x v="15"/>
    <x v="2"/>
    <x v="0"/>
    <x v="1"/>
    <s v="California"/>
    <x v="8"/>
    <x v="3"/>
    <x v="2"/>
    <x v="2"/>
  </r>
  <r>
    <x v="335"/>
    <x v="6"/>
    <x v="1"/>
    <n v="75.8"/>
    <x v="318"/>
    <d v="2025-01-15T00:00:00"/>
    <x v="20"/>
    <x v="1"/>
    <x v="0"/>
    <x v="0"/>
    <s v="California"/>
    <x v="8"/>
    <x v="4"/>
    <x v="2"/>
    <x v="1"/>
  </r>
  <r>
    <x v="336"/>
    <x v="7"/>
    <x v="0"/>
    <n v="48.5"/>
    <x v="319"/>
    <d v="2025-01-15T00:00:00"/>
    <x v="22"/>
    <x v="0"/>
    <x v="4"/>
    <x v="2"/>
    <s v="California"/>
    <x v="8"/>
    <x v="13"/>
    <x v="2"/>
    <x v="0"/>
  </r>
  <r>
    <x v="337"/>
    <x v="6"/>
    <x v="2"/>
    <n v="98.9"/>
    <x v="320"/>
    <d v="2025-01-15T00:00:00"/>
    <x v="10"/>
    <x v="2"/>
    <x v="4"/>
    <x v="1"/>
    <s v="California"/>
    <x v="8"/>
    <x v="1"/>
    <x v="2"/>
    <x v="2"/>
  </r>
  <r>
    <x v="338"/>
    <x v="1"/>
    <x v="4"/>
    <n v="50.9"/>
    <x v="321"/>
    <d v="2025-01-15T00:00:00"/>
    <x v="11"/>
    <x v="1"/>
    <x v="4"/>
    <x v="0"/>
    <s v="California"/>
    <x v="8"/>
    <x v="7"/>
    <x v="2"/>
    <x v="1"/>
  </r>
  <r>
    <x v="339"/>
    <x v="12"/>
    <x v="13"/>
    <n v="84.7"/>
    <x v="322"/>
    <d v="2025-01-15T00:00:00"/>
    <x v="11"/>
    <x v="2"/>
    <x v="2"/>
    <x v="0"/>
    <s v="California"/>
    <x v="8"/>
    <x v="7"/>
    <x v="2"/>
    <x v="2"/>
  </r>
  <r>
    <x v="340"/>
    <x v="8"/>
    <x v="0"/>
    <n v="20.7"/>
    <x v="323"/>
    <d v="2025-01-15T00:00:00"/>
    <x v="10"/>
    <x v="2"/>
    <x v="3"/>
    <x v="2"/>
    <s v="California"/>
    <x v="8"/>
    <x v="1"/>
    <x v="2"/>
    <x v="2"/>
  </r>
  <r>
    <x v="341"/>
    <x v="12"/>
    <x v="11"/>
    <n v="57.8"/>
    <x v="324"/>
    <d v="2025-01-15T00:00:00"/>
    <x v="19"/>
    <x v="1"/>
    <x v="0"/>
    <x v="4"/>
    <s v="California"/>
    <x v="17"/>
    <x v="11"/>
    <x v="2"/>
    <x v="1"/>
  </r>
  <r>
    <x v="342"/>
    <x v="2"/>
    <x v="1"/>
    <n v="106.9"/>
    <x v="325"/>
    <d v="2025-01-15T00:00:00"/>
    <x v="10"/>
    <x v="2"/>
    <x v="0"/>
    <x v="2"/>
    <s v="California"/>
    <x v="41"/>
    <x v="1"/>
    <x v="2"/>
    <x v="2"/>
  </r>
  <r>
    <x v="343"/>
    <x v="3"/>
    <x v="9"/>
    <n v="45.2"/>
    <x v="326"/>
    <d v="2025-01-15T00:00:00"/>
    <x v="18"/>
    <x v="2"/>
    <x v="1"/>
    <x v="0"/>
    <s v="California"/>
    <x v="21"/>
    <x v="5"/>
    <x v="2"/>
    <x v="2"/>
  </r>
  <r>
    <x v="344"/>
    <x v="8"/>
    <x v="15"/>
    <n v="34.6"/>
    <x v="327"/>
    <d v="2025-01-15T00:00:00"/>
    <x v="11"/>
    <x v="2"/>
    <x v="1"/>
    <x v="1"/>
    <s v="California"/>
    <x v="21"/>
    <x v="7"/>
    <x v="2"/>
    <x v="2"/>
  </r>
  <r>
    <x v="345"/>
    <x v="15"/>
    <x v="0"/>
    <n v="43.8"/>
    <x v="328"/>
    <d v="2025-01-15T00:00:00"/>
    <x v="10"/>
    <x v="0"/>
    <x v="0"/>
    <x v="2"/>
    <s v="California"/>
    <x v="21"/>
    <x v="1"/>
    <x v="2"/>
    <x v="0"/>
  </r>
  <r>
    <x v="346"/>
    <x v="15"/>
    <x v="0"/>
    <n v="20.399999999999999"/>
    <x v="190"/>
    <d v="2025-01-15T00:00:00"/>
    <x v="10"/>
    <x v="1"/>
    <x v="4"/>
    <x v="1"/>
    <s v="California"/>
    <x v="21"/>
    <x v="1"/>
    <x v="2"/>
    <x v="1"/>
  </r>
  <r>
    <x v="347"/>
    <x v="1"/>
    <x v="0"/>
    <n v="36.700000000000003"/>
    <x v="329"/>
    <d v="2025-01-15T00:00:00"/>
    <x v="15"/>
    <x v="1"/>
    <x v="0"/>
    <x v="1"/>
    <s v="California"/>
    <x v="1"/>
    <x v="3"/>
    <x v="2"/>
    <x v="1"/>
  </r>
  <r>
    <x v="348"/>
    <x v="8"/>
    <x v="2"/>
    <n v="27.2"/>
    <x v="330"/>
    <d v="2025-01-15T00:00:00"/>
    <x v="18"/>
    <x v="1"/>
    <x v="0"/>
    <x v="2"/>
    <s v="California"/>
    <x v="1"/>
    <x v="5"/>
    <x v="2"/>
    <x v="1"/>
  </r>
  <r>
    <x v="349"/>
    <x v="6"/>
    <x v="0"/>
    <n v="58.2"/>
    <x v="331"/>
    <d v="2025-01-15T00:00:00"/>
    <x v="15"/>
    <x v="2"/>
    <x v="0"/>
    <x v="2"/>
    <s v="California"/>
    <x v="42"/>
    <x v="3"/>
    <x v="2"/>
    <x v="2"/>
  </r>
  <r>
    <x v="350"/>
    <x v="8"/>
    <x v="2"/>
    <n v="25.6"/>
    <x v="332"/>
    <d v="2025-01-15T00:00:00"/>
    <x v="15"/>
    <x v="1"/>
    <x v="4"/>
    <x v="4"/>
    <s v="California"/>
    <x v="2"/>
    <x v="3"/>
    <x v="2"/>
    <x v="1"/>
  </r>
  <r>
    <x v="351"/>
    <x v="10"/>
    <x v="0"/>
    <n v="21.2"/>
    <x v="333"/>
    <d v="2025-01-15T00:00:00"/>
    <x v="11"/>
    <x v="2"/>
    <x v="1"/>
    <x v="2"/>
    <s v="California"/>
    <x v="3"/>
    <x v="7"/>
    <x v="2"/>
    <x v="2"/>
  </r>
  <r>
    <x v="352"/>
    <x v="6"/>
    <x v="1"/>
    <n v="48.2"/>
    <x v="334"/>
    <d v="2025-01-15T00:00:00"/>
    <x v="23"/>
    <x v="2"/>
    <x v="0"/>
    <x v="2"/>
    <s v="California"/>
    <x v="3"/>
    <x v="9"/>
    <x v="2"/>
    <x v="2"/>
  </r>
  <r>
    <x v="353"/>
    <x v="1"/>
    <x v="12"/>
    <n v="83.4"/>
    <x v="335"/>
    <d v="2025-01-16T00:00:00"/>
    <x v="10"/>
    <x v="1"/>
    <x v="0"/>
    <x v="0"/>
    <s v="California"/>
    <x v="3"/>
    <x v="3"/>
    <x v="2"/>
    <x v="1"/>
  </r>
  <r>
    <x v="354"/>
    <x v="9"/>
    <x v="2"/>
    <n v="45.3"/>
    <x v="336"/>
    <d v="2025-01-16T00:00:00"/>
    <x v="24"/>
    <x v="1"/>
    <x v="2"/>
    <x v="1"/>
    <s v="California"/>
    <x v="3"/>
    <x v="4"/>
    <x v="2"/>
    <x v="1"/>
  </r>
  <r>
    <x v="355"/>
    <x v="17"/>
    <x v="0"/>
    <n v="42"/>
    <x v="337"/>
    <d v="2025-01-16T00:00:00"/>
    <x v="10"/>
    <x v="0"/>
    <x v="0"/>
    <x v="0"/>
    <s v="California"/>
    <x v="3"/>
    <x v="3"/>
    <x v="2"/>
    <x v="0"/>
  </r>
  <r>
    <x v="356"/>
    <x v="0"/>
    <x v="11"/>
    <n v="21.8"/>
    <x v="338"/>
    <d v="2025-01-16T00:00:00"/>
    <x v="13"/>
    <x v="2"/>
    <x v="1"/>
    <x v="0"/>
    <s v="California"/>
    <x v="3"/>
    <x v="1"/>
    <x v="2"/>
    <x v="2"/>
  </r>
  <r>
    <x v="357"/>
    <x v="8"/>
    <x v="16"/>
    <n v="21.4"/>
    <x v="339"/>
    <d v="2025-01-16T00:00:00"/>
    <x v="18"/>
    <x v="2"/>
    <x v="1"/>
    <x v="2"/>
    <s v="California"/>
    <x v="3"/>
    <x v="2"/>
    <x v="2"/>
    <x v="2"/>
  </r>
  <r>
    <x v="358"/>
    <x v="10"/>
    <x v="2"/>
    <n v="45"/>
    <x v="340"/>
    <d v="2025-01-16T00:00:00"/>
    <x v="15"/>
    <x v="2"/>
    <x v="1"/>
    <x v="2"/>
    <s v="California"/>
    <x v="3"/>
    <x v="7"/>
    <x v="2"/>
    <x v="2"/>
  </r>
  <r>
    <x v="359"/>
    <x v="14"/>
    <x v="0"/>
    <n v="39.6"/>
    <x v="341"/>
    <d v="2025-01-16T00:00:00"/>
    <x v="10"/>
    <x v="1"/>
    <x v="0"/>
    <x v="2"/>
    <s v="California"/>
    <x v="3"/>
    <x v="3"/>
    <x v="2"/>
    <x v="1"/>
  </r>
  <r>
    <x v="360"/>
    <x v="12"/>
    <x v="2"/>
    <n v="79.8"/>
    <x v="342"/>
    <d v="2025-01-16T00:00:00"/>
    <x v="24"/>
    <x v="2"/>
    <x v="1"/>
    <x v="4"/>
    <s v="California"/>
    <x v="3"/>
    <x v="4"/>
    <x v="2"/>
    <x v="2"/>
  </r>
  <r>
    <x v="361"/>
    <x v="1"/>
    <x v="12"/>
    <n v="63.6"/>
    <x v="343"/>
    <d v="2025-01-16T00:00:00"/>
    <x v="10"/>
    <x v="3"/>
    <x v="0"/>
    <x v="2"/>
    <s v="California"/>
    <x v="24"/>
    <x v="3"/>
    <x v="2"/>
    <x v="3"/>
  </r>
  <r>
    <x v="362"/>
    <x v="7"/>
    <x v="7"/>
    <n v="92.7"/>
    <x v="344"/>
    <d v="2025-01-16T00:00:00"/>
    <x v="21"/>
    <x v="1"/>
    <x v="1"/>
    <x v="2"/>
    <s v="California"/>
    <x v="6"/>
    <x v="5"/>
    <x v="2"/>
    <x v="1"/>
  </r>
  <r>
    <x v="363"/>
    <x v="1"/>
    <x v="12"/>
    <n v="48.4"/>
    <x v="345"/>
    <d v="2025-01-16T00:00:00"/>
    <x v="13"/>
    <x v="2"/>
    <x v="1"/>
    <x v="2"/>
    <s v="California"/>
    <x v="6"/>
    <x v="1"/>
    <x v="2"/>
    <x v="2"/>
  </r>
  <r>
    <x v="364"/>
    <x v="9"/>
    <x v="8"/>
    <n v="36"/>
    <x v="346"/>
    <d v="2025-01-16T00:00:00"/>
    <x v="18"/>
    <x v="1"/>
    <x v="2"/>
    <x v="2"/>
    <s v="California"/>
    <x v="8"/>
    <x v="2"/>
    <x v="2"/>
    <x v="1"/>
  </r>
  <r>
    <x v="365"/>
    <x v="8"/>
    <x v="4"/>
    <n v="27"/>
    <x v="347"/>
    <d v="2025-01-16T00:00:00"/>
    <x v="13"/>
    <x v="2"/>
    <x v="2"/>
    <x v="1"/>
    <s v="California"/>
    <x v="8"/>
    <x v="1"/>
    <x v="2"/>
    <x v="2"/>
  </r>
  <r>
    <x v="366"/>
    <x v="2"/>
    <x v="8"/>
    <n v="53.9"/>
    <x v="348"/>
    <d v="2025-01-16T00:00:00"/>
    <x v="10"/>
    <x v="0"/>
    <x v="0"/>
    <x v="0"/>
    <s v="California"/>
    <x v="8"/>
    <x v="3"/>
    <x v="2"/>
    <x v="0"/>
  </r>
  <r>
    <x v="367"/>
    <x v="3"/>
    <x v="11"/>
    <n v="48.4"/>
    <x v="349"/>
    <d v="2025-01-16T00:00:00"/>
    <x v="10"/>
    <x v="2"/>
    <x v="1"/>
    <x v="0"/>
    <s v="California"/>
    <x v="9"/>
    <x v="3"/>
    <x v="2"/>
    <x v="2"/>
  </r>
  <r>
    <x v="368"/>
    <x v="17"/>
    <x v="1"/>
    <n v="49.9"/>
    <x v="350"/>
    <d v="2025-01-16T00:00:00"/>
    <x v="20"/>
    <x v="1"/>
    <x v="4"/>
    <x v="4"/>
    <s v="California"/>
    <x v="10"/>
    <x v="0"/>
    <x v="2"/>
    <x v="1"/>
  </r>
  <r>
    <x v="369"/>
    <x v="1"/>
    <x v="2"/>
    <n v="51.7"/>
    <x v="351"/>
    <d v="2025-01-16T00:00:00"/>
    <x v="10"/>
    <x v="2"/>
    <x v="0"/>
    <x v="2"/>
    <s v="California"/>
    <x v="11"/>
    <x v="3"/>
    <x v="2"/>
    <x v="2"/>
  </r>
  <r>
    <x v="370"/>
    <x v="8"/>
    <x v="2"/>
    <n v="41.8"/>
    <x v="352"/>
    <d v="2025-01-16T00:00:00"/>
    <x v="13"/>
    <x v="2"/>
    <x v="2"/>
    <x v="0"/>
    <s v="California"/>
    <x v="18"/>
    <x v="1"/>
    <x v="2"/>
    <x v="2"/>
  </r>
  <r>
    <x v="371"/>
    <x v="4"/>
    <x v="12"/>
    <n v="36.200000000000003"/>
    <x v="353"/>
    <d v="2025-01-17T00:00:00"/>
    <x v="13"/>
    <x v="1"/>
    <x v="2"/>
    <x v="2"/>
    <s v="California"/>
    <x v="21"/>
    <x v="3"/>
    <x v="2"/>
    <x v="1"/>
  </r>
  <r>
    <x v="372"/>
    <x v="2"/>
    <x v="0"/>
    <n v="150.9"/>
    <x v="354"/>
    <d v="2025-01-17T00:00:00"/>
    <x v="22"/>
    <x v="1"/>
    <x v="0"/>
    <x v="0"/>
    <s v="California"/>
    <x v="1"/>
    <x v="14"/>
    <x v="2"/>
    <x v="1"/>
  </r>
  <r>
    <x v="373"/>
    <x v="18"/>
    <x v="12"/>
    <n v="77.599999999999994"/>
    <x v="355"/>
    <d v="2025-01-17T00:00:00"/>
    <x v="13"/>
    <x v="0"/>
    <x v="2"/>
    <x v="0"/>
    <s v="California"/>
    <x v="3"/>
    <x v="3"/>
    <x v="2"/>
    <x v="0"/>
  </r>
  <r>
    <x v="374"/>
    <x v="13"/>
    <x v="9"/>
    <n v="65.5"/>
    <x v="356"/>
    <d v="2025-01-17T00:00:00"/>
    <x v="10"/>
    <x v="1"/>
    <x v="1"/>
    <x v="0"/>
    <s v="California"/>
    <x v="3"/>
    <x v="7"/>
    <x v="2"/>
    <x v="1"/>
  </r>
  <r>
    <x v="375"/>
    <x v="6"/>
    <x v="2"/>
    <n v="90.1"/>
    <x v="357"/>
    <d v="2025-01-17T00:00:00"/>
    <x v="18"/>
    <x v="2"/>
    <x v="0"/>
    <x v="0"/>
    <s v="California"/>
    <x v="3"/>
    <x v="1"/>
    <x v="2"/>
    <x v="2"/>
  </r>
  <r>
    <x v="376"/>
    <x v="1"/>
    <x v="1"/>
    <n v="108.3"/>
    <x v="358"/>
    <d v="2025-01-17T00:00:00"/>
    <x v="21"/>
    <x v="3"/>
    <x v="4"/>
    <x v="0"/>
    <s v="California"/>
    <x v="3"/>
    <x v="2"/>
    <x v="2"/>
    <x v="3"/>
  </r>
  <r>
    <x v="377"/>
    <x v="5"/>
    <x v="2"/>
    <n v="59.9"/>
    <x v="359"/>
    <d v="2025-01-17T00:00:00"/>
    <x v="20"/>
    <x v="2"/>
    <x v="0"/>
    <x v="0"/>
    <s v="California"/>
    <x v="3"/>
    <x v="5"/>
    <x v="2"/>
    <x v="2"/>
  </r>
  <r>
    <x v="378"/>
    <x v="2"/>
    <x v="14"/>
    <n v="139"/>
    <x v="360"/>
    <d v="2025-01-17T00:00:00"/>
    <x v="18"/>
    <x v="2"/>
    <x v="1"/>
    <x v="4"/>
    <s v="California"/>
    <x v="3"/>
    <x v="1"/>
    <x v="2"/>
    <x v="2"/>
  </r>
  <r>
    <x v="379"/>
    <x v="6"/>
    <x v="2"/>
    <n v="87.3"/>
    <x v="361"/>
    <d v="2025-01-17T00:00:00"/>
    <x v="13"/>
    <x v="2"/>
    <x v="0"/>
    <x v="0"/>
    <s v="California"/>
    <x v="3"/>
    <x v="3"/>
    <x v="2"/>
    <x v="2"/>
  </r>
  <r>
    <x v="380"/>
    <x v="11"/>
    <x v="12"/>
    <n v="42.3"/>
    <x v="362"/>
    <d v="2025-01-17T00:00:00"/>
    <x v="10"/>
    <x v="1"/>
    <x v="0"/>
    <x v="0"/>
    <s v="California"/>
    <x v="3"/>
    <x v="7"/>
    <x v="2"/>
    <x v="1"/>
  </r>
  <r>
    <x v="381"/>
    <x v="14"/>
    <x v="8"/>
    <n v="103.6"/>
    <x v="363"/>
    <d v="2025-01-17T00:00:00"/>
    <x v="13"/>
    <x v="3"/>
    <x v="0"/>
    <x v="1"/>
    <s v="California"/>
    <x v="3"/>
    <x v="3"/>
    <x v="2"/>
    <x v="3"/>
  </r>
  <r>
    <x v="382"/>
    <x v="6"/>
    <x v="1"/>
    <n v="90.9"/>
    <x v="364"/>
    <d v="2025-01-17T00:00:00"/>
    <x v="13"/>
    <x v="1"/>
    <x v="1"/>
    <x v="0"/>
    <s v="California"/>
    <x v="6"/>
    <x v="3"/>
    <x v="2"/>
    <x v="1"/>
  </r>
  <r>
    <x v="383"/>
    <x v="9"/>
    <x v="27"/>
    <n v="100.9"/>
    <x v="365"/>
    <d v="2025-01-17T00:00:00"/>
    <x v="13"/>
    <x v="2"/>
    <x v="1"/>
    <x v="0"/>
    <s v="California"/>
    <x v="6"/>
    <x v="3"/>
    <x v="2"/>
    <x v="2"/>
  </r>
  <r>
    <x v="384"/>
    <x v="4"/>
    <x v="9"/>
    <n v="36"/>
    <x v="366"/>
    <d v="2025-01-17T00:00:00"/>
    <x v="18"/>
    <x v="2"/>
    <x v="1"/>
    <x v="0"/>
    <s v="California"/>
    <x v="7"/>
    <x v="1"/>
    <x v="2"/>
    <x v="2"/>
  </r>
  <r>
    <x v="385"/>
    <x v="6"/>
    <x v="13"/>
    <n v="83.3"/>
    <x v="367"/>
    <d v="2025-01-17T00:00:00"/>
    <x v="21"/>
    <x v="0"/>
    <x v="2"/>
    <x v="0"/>
    <s v="California"/>
    <x v="7"/>
    <x v="2"/>
    <x v="2"/>
    <x v="0"/>
  </r>
  <r>
    <x v="386"/>
    <x v="2"/>
    <x v="14"/>
    <n v="60.3"/>
    <x v="368"/>
    <d v="2025-01-17T00:00:00"/>
    <x v="13"/>
    <x v="1"/>
    <x v="2"/>
    <x v="1"/>
    <s v="California"/>
    <x v="7"/>
    <x v="3"/>
    <x v="2"/>
    <x v="1"/>
  </r>
  <r>
    <x v="387"/>
    <x v="2"/>
    <x v="13"/>
    <n v="120.3"/>
    <x v="369"/>
    <d v="2025-01-17T00:00:00"/>
    <x v="13"/>
    <x v="1"/>
    <x v="2"/>
    <x v="0"/>
    <s v="California"/>
    <x v="8"/>
    <x v="3"/>
    <x v="2"/>
    <x v="1"/>
  </r>
  <r>
    <x v="388"/>
    <x v="4"/>
    <x v="7"/>
    <n v="34"/>
    <x v="370"/>
    <d v="2025-01-17T00:00:00"/>
    <x v="20"/>
    <x v="2"/>
    <x v="2"/>
    <x v="0"/>
    <s v="California"/>
    <x v="8"/>
    <x v="5"/>
    <x v="2"/>
    <x v="2"/>
  </r>
  <r>
    <x v="389"/>
    <x v="10"/>
    <x v="9"/>
    <n v="42.6"/>
    <x v="226"/>
    <d v="2025-01-17T00:00:00"/>
    <x v="21"/>
    <x v="1"/>
    <x v="1"/>
    <x v="0"/>
    <s v="California"/>
    <x v="8"/>
    <x v="2"/>
    <x v="2"/>
    <x v="1"/>
  </r>
  <r>
    <x v="390"/>
    <x v="5"/>
    <x v="28"/>
    <n v="47.4"/>
    <x v="371"/>
    <d v="2025-01-17T00:00:00"/>
    <x v="10"/>
    <x v="2"/>
    <x v="2"/>
    <x v="1"/>
    <s v="California"/>
    <x v="17"/>
    <x v="7"/>
    <x v="2"/>
    <x v="2"/>
  </r>
  <r>
    <x v="391"/>
    <x v="2"/>
    <x v="0"/>
    <n v="74"/>
    <x v="372"/>
    <d v="2025-01-18T00:00:00"/>
    <x v="18"/>
    <x v="1"/>
    <x v="1"/>
    <x v="0"/>
    <s v="California"/>
    <x v="11"/>
    <x v="3"/>
    <x v="2"/>
    <x v="1"/>
  </r>
  <r>
    <x v="392"/>
    <x v="2"/>
    <x v="9"/>
    <n v="60.4"/>
    <x v="373"/>
    <d v="2025-01-18T00:00:00"/>
    <x v="20"/>
    <x v="2"/>
    <x v="1"/>
    <x v="4"/>
    <s v="California"/>
    <x v="18"/>
    <x v="2"/>
    <x v="2"/>
    <x v="2"/>
  </r>
  <r>
    <x v="393"/>
    <x v="12"/>
    <x v="1"/>
    <n v="69.3"/>
    <x v="374"/>
    <d v="2025-01-18T00:00:00"/>
    <x v="20"/>
    <x v="1"/>
    <x v="1"/>
    <x v="1"/>
    <s v="California"/>
    <x v="13"/>
    <x v="2"/>
    <x v="2"/>
    <x v="1"/>
  </r>
  <r>
    <x v="394"/>
    <x v="5"/>
    <x v="9"/>
    <n v="81"/>
    <x v="375"/>
    <d v="2025-01-18T00:00:00"/>
    <x v="25"/>
    <x v="1"/>
    <x v="3"/>
    <x v="0"/>
    <s v="California"/>
    <x v="21"/>
    <x v="4"/>
    <x v="2"/>
    <x v="1"/>
  </r>
  <r>
    <x v="395"/>
    <x v="15"/>
    <x v="2"/>
    <n v="41.5"/>
    <x v="376"/>
    <d v="2025-01-18T00:00:00"/>
    <x v="21"/>
    <x v="3"/>
    <x v="1"/>
    <x v="0"/>
    <s v="California"/>
    <x v="21"/>
    <x v="1"/>
    <x v="2"/>
    <x v="3"/>
  </r>
  <r>
    <x v="396"/>
    <x v="18"/>
    <x v="1"/>
    <n v="69.7"/>
    <x v="377"/>
    <d v="2025-01-18T00:00:00"/>
    <x v="23"/>
    <x v="1"/>
    <x v="1"/>
    <x v="0"/>
    <s v="California"/>
    <x v="21"/>
    <x v="0"/>
    <x v="2"/>
    <x v="1"/>
  </r>
  <r>
    <x v="397"/>
    <x v="2"/>
    <x v="9"/>
    <n v="83.6"/>
    <x v="378"/>
    <d v="2025-01-18T00:00:00"/>
    <x v="13"/>
    <x v="2"/>
    <x v="4"/>
    <x v="0"/>
    <s v="California"/>
    <x v="1"/>
    <x v="7"/>
    <x v="2"/>
    <x v="2"/>
  </r>
  <r>
    <x v="398"/>
    <x v="8"/>
    <x v="3"/>
    <n v="21.5"/>
    <x v="379"/>
    <d v="2025-01-18T00:00:00"/>
    <x v="21"/>
    <x v="1"/>
    <x v="1"/>
    <x v="4"/>
    <s v="California"/>
    <x v="34"/>
    <x v="1"/>
    <x v="2"/>
    <x v="1"/>
  </r>
  <r>
    <x v="399"/>
    <x v="8"/>
    <x v="8"/>
    <n v="28.6"/>
    <x v="27"/>
    <d v="2025-01-18T00:00:00"/>
    <x v="18"/>
    <x v="1"/>
    <x v="0"/>
    <x v="0"/>
    <s v="California"/>
    <x v="3"/>
    <x v="3"/>
    <x v="2"/>
    <x v="1"/>
  </r>
  <r>
    <x v="400"/>
    <x v="8"/>
    <x v="13"/>
    <n v="18.8"/>
    <x v="380"/>
    <d v="2025-01-18T00:00:00"/>
    <x v="20"/>
    <x v="1"/>
    <x v="3"/>
    <x v="2"/>
    <s v="California"/>
    <x v="3"/>
    <x v="2"/>
    <x v="2"/>
    <x v="1"/>
  </r>
  <r>
    <x v="401"/>
    <x v="10"/>
    <x v="12"/>
    <n v="35.1"/>
    <x v="381"/>
    <d v="2025-01-18T00:00:00"/>
    <x v="13"/>
    <x v="2"/>
    <x v="1"/>
    <x v="1"/>
    <s v="California"/>
    <x v="3"/>
    <x v="7"/>
    <x v="2"/>
    <x v="2"/>
  </r>
  <r>
    <x v="402"/>
    <x v="0"/>
    <x v="1"/>
    <n v="12.7"/>
    <x v="382"/>
    <d v="2025-01-18T00:00:00"/>
    <x v="21"/>
    <x v="2"/>
    <x v="1"/>
    <x v="2"/>
    <s v="California"/>
    <x v="3"/>
    <x v="1"/>
    <x v="2"/>
    <x v="2"/>
  </r>
  <r>
    <x v="403"/>
    <x v="8"/>
    <x v="9"/>
    <n v="27.4"/>
    <x v="383"/>
    <d v="2025-01-18T00:00:00"/>
    <x v="21"/>
    <x v="3"/>
    <x v="0"/>
    <x v="0"/>
    <s v="California"/>
    <x v="3"/>
    <x v="1"/>
    <x v="2"/>
    <x v="3"/>
  </r>
  <r>
    <x v="404"/>
    <x v="10"/>
    <x v="1"/>
    <n v="61.3"/>
    <x v="384"/>
    <d v="2025-01-18T00:00:00"/>
    <x v="18"/>
    <x v="2"/>
    <x v="1"/>
    <x v="0"/>
    <s v="California"/>
    <x v="6"/>
    <x v="3"/>
    <x v="2"/>
    <x v="2"/>
  </r>
  <r>
    <x v="405"/>
    <x v="8"/>
    <x v="1"/>
    <n v="64.7"/>
    <x v="385"/>
    <d v="2025-01-18T00:00:00"/>
    <x v="21"/>
    <x v="2"/>
    <x v="3"/>
    <x v="2"/>
    <s v="California"/>
    <x v="6"/>
    <x v="1"/>
    <x v="2"/>
    <x v="2"/>
  </r>
  <r>
    <x v="406"/>
    <x v="7"/>
    <x v="12"/>
    <n v="91.4"/>
    <x v="386"/>
    <d v="2025-01-18T00:00:00"/>
    <x v="21"/>
    <x v="2"/>
    <x v="0"/>
    <x v="0"/>
    <s v="California"/>
    <x v="8"/>
    <x v="1"/>
    <x v="2"/>
    <x v="2"/>
  </r>
  <r>
    <x v="407"/>
    <x v="0"/>
    <x v="1"/>
    <n v="33.1"/>
    <x v="387"/>
    <d v="2025-01-19T00:00:00"/>
    <x v="21"/>
    <x v="1"/>
    <x v="0"/>
    <x v="2"/>
    <s v="California"/>
    <x v="8"/>
    <x v="3"/>
    <x v="3"/>
    <x v="1"/>
  </r>
  <r>
    <x v="408"/>
    <x v="3"/>
    <x v="1"/>
    <n v="105.6"/>
    <x v="23"/>
    <d v="2025-01-19T00:00:00"/>
    <x v="21"/>
    <x v="1"/>
    <x v="2"/>
    <x v="1"/>
    <s v="California"/>
    <x v="8"/>
    <x v="3"/>
    <x v="3"/>
    <x v="1"/>
  </r>
  <r>
    <x v="409"/>
    <x v="10"/>
    <x v="2"/>
    <n v="46.4"/>
    <x v="388"/>
    <d v="2025-01-19T00:00:00"/>
    <x v="21"/>
    <x v="1"/>
    <x v="2"/>
    <x v="0"/>
    <s v="California"/>
    <x v="9"/>
    <x v="3"/>
    <x v="3"/>
    <x v="1"/>
  </r>
  <r>
    <x v="410"/>
    <x v="9"/>
    <x v="21"/>
    <n v="35.299999999999997"/>
    <x v="389"/>
    <d v="2025-01-19T00:00:00"/>
    <x v="24"/>
    <x v="2"/>
    <x v="4"/>
    <x v="1"/>
    <s v="California"/>
    <x v="11"/>
    <x v="2"/>
    <x v="3"/>
    <x v="2"/>
  </r>
  <r>
    <x v="411"/>
    <x v="0"/>
    <x v="1"/>
    <n v="16.100000000000001"/>
    <x v="390"/>
    <d v="2025-01-19T00:00:00"/>
    <x v="20"/>
    <x v="1"/>
    <x v="3"/>
    <x v="2"/>
    <s v="California"/>
    <x v="32"/>
    <x v="1"/>
    <x v="3"/>
    <x v="1"/>
  </r>
  <r>
    <x v="412"/>
    <x v="4"/>
    <x v="1"/>
    <n v="27.9"/>
    <x v="391"/>
    <d v="2025-01-19T00:00:00"/>
    <x v="24"/>
    <x v="1"/>
    <x v="0"/>
    <x v="0"/>
    <s v="California"/>
    <x v="13"/>
    <x v="2"/>
    <x v="3"/>
    <x v="1"/>
  </r>
  <r>
    <x v="413"/>
    <x v="8"/>
    <x v="0"/>
    <n v="47.1"/>
    <x v="392"/>
    <d v="2025-01-19T00:00:00"/>
    <x v="22"/>
    <x v="2"/>
    <x v="1"/>
    <x v="0"/>
    <s v="California"/>
    <x v="2"/>
    <x v="9"/>
    <x v="3"/>
    <x v="2"/>
  </r>
  <r>
    <x v="414"/>
    <x v="6"/>
    <x v="1"/>
    <n v="85"/>
    <x v="393"/>
    <d v="2025-01-19T00:00:00"/>
    <x v="24"/>
    <x v="0"/>
    <x v="2"/>
    <x v="2"/>
    <s v="California"/>
    <x v="22"/>
    <x v="2"/>
    <x v="3"/>
    <x v="0"/>
  </r>
  <r>
    <x v="415"/>
    <x v="18"/>
    <x v="1"/>
    <n v="89"/>
    <x v="394"/>
    <d v="2025-01-19T00:00:00"/>
    <x v="20"/>
    <x v="2"/>
    <x v="0"/>
    <x v="0"/>
    <s v="California"/>
    <x v="3"/>
    <x v="1"/>
    <x v="3"/>
    <x v="2"/>
  </r>
  <r>
    <x v="416"/>
    <x v="16"/>
    <x v="2"/>
    <n v="36.6"/>
    <x v="17"/>
    <d v="2025-01-19T00:00:00"/>
    <x v="21"/>
    <x v="3"/>
    <x v="3"/>
    <x v="2"/>
    <s v="California"/>
    <x v="3"/>
    <x v="3"/>
    <x v="3"/>
    <x v="3"/>
  </r>
  <r>
    <x v="417"/>
    <x v="6"/>
    <x v="3"/>
    <n v="43.5"/>
    <x v="395"/>
    <d v="2025-01-19T00:00:00"/>
    <x v="21"/>
    <x v="1"/>
    <x v="1"/>
    <x v="2"/>
    <s v="California"/>
    <x v="3"/>
    <x v="3"/>
    <x v="3"/>
    <x v="1"/>
  </r>
  <r>
    <x v="418"/>
    <x v="9"/>
    <x v="10"/>
    <n v="30.5"/>
    <x v="396"/>
    <d v="2025-01-19T00:00:00"/>
    <x v="18"/>
    <x v="2"/>
    <x v="3"/>
    <x v="0"/>
    <s v="California"/>
    <x v="3"/>
    <x v="7"/>
    <x v="3"/>
    <x v="2"/>
  </r>
  <r>
    <x v="419"/>
    <x v="1"/>
    <x v="1"/>
    <n v="107.7"/>
    <x v="397"/>
    <d v="2025-01-19T00:00:00"/>
    <x v="23"/>
    <x v="1"/>
    <x v="3"/>
    <x v="4"/>
    <s v="California"/>
    <x v="3"/>
    <x v="5"/>
    <x v="3"/>
    <x v="1"/>
  </r>
  <r>
    <x v="420"/>
    <x v="17"/>
    <x v="18"/>
    <n v="57.1"/>
    <x v="398"/>
    <d v="2025-01-19T00:00:00"/>
    <x v="21"/>
    <x v="1"/>
    <x v="1"/>
    <x v="0"/>
    <s v="California"/>
    <x v="3"/>
    <x v="3"/>
    <x v="3"/>
    <x v="1"/>
  </r>
  <r>
    <x v="421"/>
    <x v="2"/>
    <x v="7"/>
    <n v="111.7"/>
    <x v="399"/>
    <d v="2025-01-19T00:00:00"/>
    <x v="21"/>
    <x v="2"/>
    <x v="4"/>
    <x v="2"/>
    <s v="California"/>
    <x v="3"/>
    <x v="3"/>
    <x v="3"/>
    <x v="2"/>
  </r>
  <r>
    <x v="422"/>
    <x v="18"/>
    <x v="3"/>
    <n v="44.3"/>
    <x v="400"/>
    <d v="2025-01-19T00:00:00"/>
    <x v="24"/>
    <x v="1"/>
    <x v="3"/>
    <x v="2"/>
    <s v="California"/>
    <x v="3"/>
    <x v="2"/>
    <x v="3"/>
    <x v="1"/>
  </r>
  <r>
    <x v="423"/>
    <x v="2"/>
    <x v="8"/>
    <n v="95.8"/>
    <x v="401"/>
    <d v="2025-01-19T00:00:00"/>
    <x v="17"/>
    <x v="3"/>
    <x v="0"/>
    <x v="0"/>
    <s v="California"/>
    <x v="3"/>
    <x v="4"/>
    <x v="3"/>
    <x v="3"/>
  </r>
  <r>
    <x v="424"/>
    <x v="10"/>
    <x v="3"/>
    <n v="22.6"/>
    <x v="402"/>
    <d v="2025-01-19T00:00:00"/>
    <x v="24"/>
    <x v="2"/>
    <x v="3"/>
    <x v="1"/>
    <s v="California"/>
    <x v="3"/>
    <x v="2"/>
    <x v="3"/>
    <x v="2"/>
  </r>
  <r>
    <x v="425"/>
    <x v="8"/>
    <x v="8"/>
    <n v="25.6"/>
    <x v="403"/>
    <d v="2025-01-19T00:00:00"/>
    <x v="20"/>
    <x v="2"/>
    <x v="4"/>
    <x v="0"/>
    <s v="California"/>
    <x v="3"/>
    <x v="1"/>
    <x v="3"/>
    <x v="2"/>
  </r>
  <r>
    <x v="426"/>
    <x v="6"/>
    <x v="27"/>
    <n v="54.3"/>
    <x v="404"/>
    <d v="2025-01-19T00:00:00"/>
    <x v="24"/>
    <x v="2"/>
    <x v="4"/>
    <x v="0"/>
    <s v="California"/>
    <x v="3"/>
    <x v="2"/>
    <x v="3"/>
    <x v="2"/>
  </r>
  <r>
    <x v="427"/>
    <x v="18"/>
    <x v="15"/>
    <n v="51.3"/>
    <x v="405"/>
    <d v="2025-01-19T00:00:00"/>
    <x v="20"/>
    <x v="1"/>
    <x v="0"/>
    <x v="2"/>
    <s v="California"/>
    <x v="3"/>
    <x v="1"/>
    <x v="3"/>
    <x v="1"/>
  </r>
  <r>
    <x v="428"/>
    <x v="0"/>
    <x v="8"/>
    <n v="25.6"/>
    <x v="403"/>
    <d v="2025-01-19T00:00:00"/>
    <x v="21"/>
    <x v="2"/>
    <x v="1"/>
    <x v="1"/>
    <s v="California"/>
    <x v="3"/>
    <x v="3"/>
    <x v="3"/>
    <x v="2"/>
  </r>
  <r>
    <x v="429"/>
    <x v="0"/>
    <x v="1"/>
    <n v="15.6"/>
    <x v="406"/>
    <d v="2025-01-19T00:00:00"/>
    <x v="21"/>
    <x v="2"/>
    <x v="2"/>
    <x v="2"/>
    <s v="California"/>
    <x v="3"/>
    <x v="3"/>
    <x v="3"/>
    <x v="2"/>
  </r>
  <r>
    <x v="430"/>
    <x v="8"/>
    <x v="2"/>
    <n v="30.3"/>
    <x v="407"/>
    <d v="2025-01-19T00:00:00"/>
    <x v="23"/>
    <x v="2"/>
    <x v="0"/>
    <x v="1"/>
    <s v="California"/>
    <x v="3"/>
    <x v="5"/>
    <x v="3"/>
    <x v="2"/>
  </r>
  <r>
    <x v="431"/>
    <x v="12"/>
    <x v="1"/>
    <n v="30.3"/>
    <x v="408"/>
    <d v="2025-01-19T00:00:00"/>
    <x v="25"/>
    <x v="2"/>
    <x v="0"/>
    <x v="2"/>
    <s v="California"/>
    <x v="37"/>
    <x v="0"/>
    <x v="3"/>
    <x v="2"/>
  </r>
  <r>
    <x v="432"/>
    <x v="10"/>
    <x v="2"/>
    <n v="53"/>
    <x v="409"/>
    <d v="2025-01-19T00:00:00"/>
    <x v="19"/>
    <x v="2"/>
    <x v="2"/>
    <x v="0"/>
    <s v="California"/>
    <x v="24"/>
    <x v="6"/>
    <x v="3"/>
    <x v="2"/>
  </r>
  <r>
    <x v="433"/>
    <x v="5"/>
    <x v="16"/>
    <n v="59.9"/>
    <x v="410"/>
    <d v="2025-01-19T00:00:00"/>
    <x v="24"/>
    <x v="1"/>
    <x v="2"/>
    <x v="4"/>
    <s v="California"/>
    <x v="25"/>
    <x v="2"/>
    <x v="3"/>
    <x v="1"/>
  </r>
  <r>
    <x v="434"/>
    <x v="9"/>
    <x v="1"/>
    <n v="45.7"/>
    <x v="411"/>
    <d v="2025-01-19T00:00:00"/>
    <x v="21"/>
    <x v="2"/>
    <x v="1"/>
    <x v="2"/>
    <s v="California"/>
    <x v="6"/>
    <x v="3"/>
    <x v="3"/>
    <x v="2"/>
  </r>
  <r>
    <x v="435"/>
    <x v="8"/>
    <x v="12"/>
    <n v="46.1"/>
    <x v="412"/>
    <d v="2025-01-19T00:00:00"/>
    <x v="21"/>
    <x v="1"/>
    <x v="0"/>
    <x v="0"/>
    <s v="California"/>
    <x v="6"/>
    <x v="3"/>
    <x v="3"/>
    <x v="1"/>
  </r>
  <r>
    <x v="436"/>
    <x v="8"/>
    <x v="2"/>
    <n v="17.5"/>
    <x v="413"/>
    <d v="2025-01-19T00:00:00"/>
    <x v="21"/>
    <x v="2"/>
    <x v="0"/>
    <x v="2"/>
    <s v="California"/>
    <x v="8"/>
    <x v="3"/>
    <x v="3"/>
    <x v="2"/>
  </r>
  <r>
    <x v="437"/>
    <x v="10"/>
    <x v="2"/>
    <n v="36.5"/>
    <x v="414"/>
    <d v="2025-01-19T00:00:00"/>
    <x v="26"/>
    <x v="1"/>
    <x v="2"/>
    <x v="0"/>
    <s v="California"/>
    <x v="8"/>
    <x v="11"/>
    <x v="3"/>
    <x v="1"/>
  </r>
  <r>
    <x v="438"/>
    <x v="8"/>
    <x v="1"/>
    <n v="47.5"/>
    <x v="415"/>
    <d v="2025-01-20T00:00:00"/>
    <x v="24"/>
    <x v="2"/>
    <x v="1"/>
    <x v="0"/>
    <s v="California"/>
    <x v="8"/>
    <x v="1"/>
    <x v="3"/>
    <x v="2"/>
  </r>
  <r>
    <x v="439"/>
    <x v="6"/>
    <x v="9"/>
    <n v="45.6"/>
    <x v="416"/>
    <d v="2025-01-20T00:00:00"/>
    <x v="24"/>
    <x v="2"/>
    <x v="0"/>
    <x v="2"/>
    <s v="California"/>
    <x v="8"/>
    <x v="1"/>
    <x v="3"/>
    <x v="2"/>
  </r>
  <r>
    <x v="440"/>
    <x v="9"/>
    <x v="1"/>
    <n v="50.5"/>
    <x v="95"/>
    <d v="2025-01-20T00:00:00"/>
    <x v="24"/>
    <x v="1"/>
    <x v="0"/>
    <x v="1"/>
    <s v="California"/>
    <x v="17"/>
    <x v="1"/>
    <x v="3"/>
    <x v="1"/>
  </r>
  <r>
    <x v="441"/>
    <x v="2"/>
    <x v="7"/>
    <n v="99.8"/>
    <x v="417"/>
    <d v="2025-01-20T00:00:00"/>
    <x v="23"/>
    <x v="2"/>
    <x v="2"/>
    <x v="1"/>
    <s v="California"/>
    <x v="17"/>
    <x v="2"/>
    <x v="3"/>
    <x v="2"/>
  </r>
  <r>
    <x v="442"/>
    <x v="8"/>
    <x v="20"/>
    <n v="19.2"/>
    <x v="346"/>
    <d v="2025-01-20T00:00:00"/>
    <x v="24"/>
    <x v="3"/>
    <x v="4"/>
    <x v="1"/>
    <s v="California"/>
    <x v="26"/>
    <x v="1"/>
    <x v="3"/>
    <x v="3"/>
  </r>
  <r>
    <x v="443"/>
    <x v="17"/>
    <x v="2"/>
    <n v="22.6"/>
    <x v="418"/>
    <d v="2025-01-20T00:00:00"/>
    <x v="20"/>
    <x v="1"/>
    <x v="1"/>
    <x v="0"/>
    <s v="California"/>
    <x v="11"/>
    <x v="3"/>
    <x v="3"/>
    <x v="1"/>
  </r>
  <r>
    <x v="444"/>
    <x v="1"/>
    <x v="20"/>
    <n v="126.9"/>
    <x v="419"/>
    <d v="2025-01-20T00:00:00"/>
    <x v="24"/>
    <x v="2"/>
    <x v="0"/>
    <x v="2"/>
    <s v="California"/>
    <x v="11"/>
    <x v="1"/>
    <x v="3"/>
    <x v="2"/>
  </r>
  <r>
    <x v="445"/>
    <x v="2"/>
    <x v="1"/>
    <n v="100.3"/>
    <x v="420"/>
    <d v="2025-01-20T00:00:00"/>
    <x v="20"/>
    <x v="2"/>
    <x v="0"/>
    <x v="1"/>
    <s v="California"/>
    <x v="11"/>
    <x v="3"/>
    <x v="3"/>
    <x v="2"/>
  </r>
  <r>
    <x v="446"/>
    <x v="4"/>
    <x v="16"/>
    <n v="24.6"/>
    <x v="421"/>
    <d v="2025-01-20T00:00:00"/>
    <x v="20"/>
    <x v="2"/>
    <x v="4"/>
    <x v="0"/>
    <s v="California"/>
    <x v="13"/>
    <x v="3"/>
    <x v="3"/>
    <x v="2"/>
  </r>
  <r>
    <x v="447"/>
    <x v="6"/>
    <x v="1"/>
    <n v="47.3"/>
    <x v="422"/>
    <d v="2025-01-20T00:00:00"/>
    <x v="20"/>
    <x v="1"/>
    <x v="1"/>
    <x v="2"/>
    <s v="California"/>
    <x v="13"/>
    <x v="3"/>
    <x v="3"/>
    <x v="1"/>
  </r>
  <r>
    <x v="448"/>
    <x v="6"/>
    <x v="3"/>
    <n v="40.799999999999997"/>
    <x v="423"/>
    <d v="2025-01-20T00:00:00"/>
    <x v="23"/>
    <x v="2"/>
    <x v="2"/>
    <x v="2"/>
    <s v="California"/>
    <x v="21"/>
    <x v="2"/>
    <x v="3"/>
    <x v="2"/>
  </r>
  <r>
    <x v="449"/>
    <x v="8"/>
    <x v="8"/>
    <n v="49.2"/>
    <x v="424"/>
    <d v="2025-01-20T00:00:00"/>
    <x v="24"/>
    <x v="2"/>
    <x v="0"/>
    <x v="0"/>
    <s v="California"/>
    <x v="1"/>
    <x v="1"/>
    <x v="3"/>
    <x v="2"/>
  </r>
  <r>
    <x v="450"/>
    <x v="8"/>
    <x v="0"/>
    <n v="28.5"/>
    <x v="425"/>
    <d v="2025-01-20T00:00:00"/>
    <x v="24"/>
    <x v="0"/>
    <x v="2"/>
    <x v="1"/>
    <s v="California"/>
    <x v="3"/>
    <x v="1"/>
    <x v="3"/>
    <x v="0"/>
  </r>
  <r>
    <x v="451"/>
    <x v="18"/>
    <x v="1"/>
    <n v="36.799999999999997"/>
    <x v="426"/>
    <d v="2025-01-20T00:00:00"/>
    <x v="19"/>
    <x v="2"/>
    <x v="0"/>
    <x v="2"/>
    <s v="California"/>
    <x v="3"/>
    <x v="4"/>
    <x v="3"/>
    <x v="2"/>
  </r>
  <r>
    <x v="452"/>
    <x v="7"/>
    <x v="2"/>
    <n v="33.5"/>
    <x v="427"/>
    <d v="2025-01-20T00:00:00"/>
    <x v="20"/>
    <x v="2"/>
    <x v="0"/>
    <x v="1"/>
    <s v="California"/>
    <x v="3"/>
    <x v="3"/>
    <x v="3"/>
    <x v="2"/>
  </r>
  <r>
    <x v="453"/>
    <x v="6"/>
    <x v="13"/>
    <n v="62.5"/>
    <x v="428"/>
    <d v="2025-01-20T00:00:00"/>
    <x v="24"/>
    <x v="2"/>
    <x v="0"/>
    <x v="0"/>
    <s v="California"/>
    <x v="3"/>
    <x v="1"/>
    <x v="3"/>
    <x v="2"/>
  </r>
  <r>
    <x v="454"/>
    <x v="8"/>
    <x v="29"/>
    <n v="47.9"/>
    <x v="429"/>
    <d v="2025-01-20T00:00:00"/>
    <x v="20"/>
    <x v="2"/>
    <x v="3"/>
    <x v="0"/>
    <s v="California"/>
    <x v="3"/>
    <x v="3"/>
    <x v="3"/>
    <x v="2"/>
  </r>
  <r>
    <x v="455"/>
    <x v="6"/>
    <x v="13"/>
    <n v="92.9"/>
    <x v="430"/>
    <d v="2025-01-20T00:00:00"/>
    <x v="27"/>
    <x v="2"/>
    <x v="0"/>
    <x v="4"/>
    <s v="California"/>
    <x v="3"/>
    <x v="11"/>
    <x v="3"/>
    <x v="2"/>
  </r>
  <r>
    <x v="456"/>
    <x v="12"/>
    <x v="2"/>
    <n v="44.1"/>
    <x v="431"/>
    <d v="2025-01-20T00:00:00"/>
    <x v="21"/>
    <x v="2"/>
    <x v="1"/>
    <x v="1"/>
    <s v="California"/>
    <x v="43"/>
    <x v="7"/>
    <x v="3"/>
    <x v="2"/>
  </r>
  <r>
    <x v="457"/>
    <x v="0"/>
    <x v="0"/>
    <n v="11.4"/>
    <x v="432"/>
    <d v="2025-01-21T00:00:00"/>
    <x v="23"/>
    <x v="2"/>
    <x v="2"/>
    <x v="0"/>
    <s v="California"/>
    <x v="5"/>
    <x v="1"/>
    <x v="3"/>
    <x v="2"/>
  </r>
  <r>
    <x v="458"/>
    <x v="6"/>
    <x v="0"/>
    <n v="83.7"/>
    <x v="433"/>
    <d v="2025-01-21T00:00:00"/>
    <x v="23"/>
    <x v="2"/>
    <x v="0"/>
    <x v="2"/>
    <s v="California"/>
    <x v="6"/>
    <x v="1"/>
    <x v="3"/>
    <x v="2"/>
  </r>
  <r>
    <x v="459"/>
    <x v="10"/>
    <x v="1"/>
    <n v="23.2"/>
    <x v="434"/>
    <d v="2025-01-21T00:00:00"/>
    <x v="24"/>
    <x v="1"/>
    <x v="2"/>
    <x v="0"/>
    <s v="California"/>
    <x v="8"/>
    <x v="3"/>
    <x v="3"/>
    <x v="1"/>
  </r>
  <r>
    <x v="460"/>
    <x v="2"/>
    <x v="0"/>
    <n v="162.1"/>
    <x v="435"/>
    <d v="2025-01-21T00:00:00"/>
    <x v="25"/>
    <x v="2"/>
    <x v="0"/>
    <x v="2"/>
    <s v="California"/>
    <x v="9"/>
    <x v="2"/>
    <x v="3"/>
    <x v="2"/>
  </r>
  <r>
    <x v="461"/>
    <x v="6"/>
    <x v="12"/>
    <n v="49.2"/>
    <x v="436"/>
    <d v="2025-01-21T00:00:00"/>
    <x v="17"/>
    <x v="1"/>
    <x v="1"/>
    <x v="0"/>
    <s v="California"/>
    <x v="9"/>
    <x v="5"/>
    <x v="3"/>
    <x v="1"/>
  </r>
  <r>
    <x v="462"/>
    <x v="1"/>
    <x v="1"/>
    <n v="61"/>
    <x v="164"/>
    <d v="2025-01-21T00:00:00"/>
    <x v="24"/>
    <x v="1"/>
    <x v="3"/>
    <x v="0"/>
    <s v="California"/>
    <x v="10"/>
    <x v="3"/>
    <x v="3"/>
    <x v="1"/>
  </r>
  <r>
    <x v="463"/>
    <x v="2"/>
    <x v="7"/>
    <n v="53.1"/>
    <x v="437"/>
    <d v="2025-01-21T00:00:00"/>
    <x v="23"/>
    <x v="1"/>
    <x v="0"/>
    <x v="0"/>
    <s v="California"/>
    <x v="11"/>
    <x v="1"/>
    <x v="3"/>
    <x v="1"/>
  </r>
  <r>
    <x v="464"/>
    <x v="4"/>
    <x v="1"/>
    <n v="22.4"/>
    <x v="438"/>
    <d v="2025-01-21T00:00:00"/>
    <x v="23"/>
    <x v="0"/>
    <x v="1"/>
    <x v="2"/>
    <s v="California"/>
    <x v="13"/>
    <x v="1"/>
    <x v="3"/>
    <x v="0"/>
  </r>
  <r>
    <x v="465"/>
    <x v="1"/>
    <x v="9"/>
    <n v="75.3"/>
    <x v="439"/>
    <d v="2025-01-21T00:00:00"/>
    <x v="24"/>
    <x v="1"/>
    <x v="0"/>
    <x v="0"/>
    <s v="California"/>
    <x v="21"/>
    <x v="3"/>
    <x v="3"/>
    <x v="1"/>
  </r>
  <r>
    <x v="466"/>
    <x v="6"/>
    <x v="0"/>
    <n v="48.5"/>
    <x v="319"/>
    <d v="2025-01-21T00:00:00"/>
    <x v="24"/>
    <x v="2"/>
    <x v="0"/>
    <x v="1"/>
    <s v="California"/>
    <x v="21"/>
    <x v="3"/>
    <x v="3"/>
    <x v="2"/>
  </r>
  <r>
    <x v="467"/>
    <x v="6"/>
    <x v="0"/>
    <n v="42.6"/>
    <x v="440"/>
    <d v="2025-01-21T00:00:00"/>
    <x v="17"/>
    <x v="2"/>
    <x v="3"/>
    <x v="0"/>
    <s v="California"/>
    <x v="1"/>
    <x v="5"/>
    <x v="3"/>
    <x v="2"/>
  </r>
  <r>
    <x v="468"/>
    <x v="5"/>
    <x v="9"/>
    <n v="49"/>
    <x v="441"/>
    <d v="2025-01-21T00:00:00"/>
    <x v="24"/>
    <x v="1"/>
    <x v="0"/>
    <x v="0"/>
    <s v="California"/>
    <x v="22"/>
    <x v="3"/>
    <x v="3"/>
    <x v="1"/>
  </r>
  <r>
    <x v="469"/>
    <x v="8"/>
    <x v="2"/>
    <n v="31.3"/>
    <x v="442"/>
    <d v="2025-01-21T00:00:00"/>
    <x v="24"/>
    <x v="1"/>
    <x v="2"/>
    <x v="1"/>
    <s v="California"/>
    <x v="3"/>
    <x v="3"/>
    <x v="3"/>
    <x v="1"/>
  </r>
  <r>
    <x v="470"/>
    <x v="2"/>
    <x v="1"/>
    <n v="85.4"/>
    <x v="443"/>
    <d v="2025-01-21T00:00:00"/>
    <x v="24"/>
    <x v="2"/>
    <x v="2"/>
    <x v="0"/>
    <s v="California"/>
    <x v="3"/>
    <x v="3"/>
    <x v="3"/>
    <x v="2"/>
  </r>
  <r>
    <x v="471"/>
    <x v="8"/>
    <x v="12"/>
    <n v="40"/>
    <x v="444"/>
    <d v="2025-01-21T00:00:00"/>
    <x v="24"/>
    <x v="3"/>
    <x v="0"/>
    <x v="2"/>
    <s v="California"/>
    <x v="3"/>
    <x v="3"/>
    <x v="3"/>
    <x v="3"/>
  </r>
  <r>
    <x v="472"/>
    <x v="5"/>
    <x v="1"/>
    <n v="38.5"/>
    <x v="445"/>
    <d v="2025-01-21T00:00:00"/>
    <x v="25"/>
    <x v="1"/>
    <x v="1"/>
    <x v="2"/>
    <s v="California"/>
    <x v="3"/>
    <x v="2"/>
    <x v="3"/>
    <x v="1"/>
  </r>
  <r>
    <x v="473"/>
    <x v="2"/>
    <x v="1"/>
    <n v="57.8"/>
    <x v="446"/>
    <d v="2025-01-21T00:00:00"/>
    <x v="24"/>
    <x v="0"/>
    <x v="0"/>
    <x v="0"/>
    <s v="California"/>
    <x v="3"/>
    <x v="3"/>
    <x v="3"/>
    <x v="0"/>
  </r>
  <r>
    <x v="474"/>
    <x v="8"/>
    <x v="0"/>
    <n v="19.2"/>
    <x v="447"/>
    <d v="2025-01-21T00:00:00"/>
    <x v="24"/>
    <x v="2"/>
    <x v="0"/>
    <x v="4"/>
    <s v="California"/>
    <x v="3"/>
    <x v="3"/>
    <x v="3"/>
    <x v="2"/>
  </r>
  <r>
    <x v="475"/>
    <x v="6"/>
    <x v="13"/>
    <n v="114.8"/>
    <x v="448"/>
    <d v="2025-01-21T00:00:00"/>
    <x v="25"/>
    <x v="1"/>
    <x v="1"/>
    <x v="1"/>
    <s v="California"/>
    <x v="3"/>
    <x v="2"/>
    <x v="3"/>
    <x v="1"/>
  </r>
  <r>
    <x v="476"/>
    <x v="10"/>
    <x v="3"/>
    <n v="48.4"/>
    <x v="449"/>
    <d v="2025-01-21T00:00:00"/>
    <x v="25"/>
    <x v="2"/>
    <x v="3"/>
    <x v="1"/>
    <s v="California"/>
    <x v="3"/>
    <x v="2"/>
    <x v="3"/>
    <x v="2"/>
  </r>
  <r>
    <x v="477"/>
    <x v="9"/>
    <x v="9"/>
    <n v="73.2"/>
    <x v="450"/>
    <d v="2025-01-21T00:00:00"/>
    <x v="24"/>
    <x v="2"/>
    <x v="1"/>
    <x v="4"/>
    <s v="California"/>
    <x v="3"/>
    <x v="3"/>
    <x v="3"/>
    <x v="2"/>
  </r>
  <r>
    <x v="478"/>
    <x v="15"/>
    <x v="1"/>
    <n v="48.6"/>
    <x v="451"/>
    <d v="2025-01-21T00:00:00"/>
    <x v="17"/>
    <x v="2"/>
    <x v="3"/>
    <x v="0"/>
    <s v="California"/>
    <x v="3"/>
    <x v="5"/>
    <x v="3"/>
    <x v="2"/>
  </r>
  <r>
    <x v="479"/>
    <x v="0"/>
    <x v="13"/>
    <n v="48.7"/>
    <x v="452"/>
    <d v="2025-01-21T00:00:00"/>
    <x v="24"/>
    <x v="1"/>
    <x v="0"/>
    <x v="0"/>
    <s v="California"/>
    <x v="3"/>
    <x v="3"/>
    <x v="3"/>
    <x v="1"/>
  </r>
  <r>
    <x v="480"/>
    <x v="4"/>
    <x v="1"/>
    <n v="32.200000000000003"/>
    <x v="453"/>
    <d v="2025-01-21T00:00:00"/>
    <x v="25"/>
    <x v="1"/>
    <x v="2"/>
    <x v="2"/>
    <s v="California"/>
    <x v="3"/>
    <x v="2"/>
    <x v="3"/>
    <x v="1"/>
  </r>
  <r>
    <x v="481"/>
    <x v="15"/>
    <x v="8"/>
    <n v="25.8"/>
    <x v="454"/>
    <d v="2025-01-21T00:00:00"/>
    <x v="24"/>
    <x v="1"/>
    <x v="0"/>
    <x v="0"/>
    <s v="California"/>
    <x v="37"/>
    <x v="3"/>
    <x v="3"/>
    <x v="1"/>
  </r>
  <r>
    <x v="482"/>
    <x v="6"/>
    <x v="1"/>
    <n v="94.8"/>
    <x v="455"/>
    <d v="2025-01-22T00:00:00"/>
    <x v="17"/>
    <x v="2"/>
    <x v="1"/>
    <x v="1"/>
    <s v="California"/>
    <x v="25"/>
    <x v="2"/>
    <x v="3"/>
    <x v="2"/>
  </r>
  <r>
    <x v="483"/>
    <x v="15"/>
    <x v="30"/>
    <n v="56.8"/>
    <x v="456"/>
    <d v="2025-01-22T00:00:00"/>
    <x v="17"/>
    <x v="1"/>
    <x v="0"/>
    <x v="0"/>
    <s v="California"/>
    <x v="25"/>
    <x v="2"/>
    <x v="3"/>
    <x v="1"/>
  </r>
  <r>
    <x v="484"/>
    <x v="8"/>
    <x v="27"/>
    <n v="18.3"/>
    <x v="457"/>
    <d v="2025-01-22T00:00:00"/>
    <x v="28"/>
    <x v="2"/>
    <x v="2"/>
    <x v="2"/>
    <s v="California"/>
    <x v="23"/>
    <x v="6"/>
    <x v="3"/>
    <x v="2"/>
  </r>
  <r>
    <x v="485"/>
    <x v="0"/>
    <x v="2"/>
    <n v="16.8"/>
    <x v="458"/>
    <d v="2025-01-22T00:00:00"/>
    <x v="22"/>
    <x v="2"/>
    <x v="2"/>
    <x v="2"/>
    <s v="California"/>
    <x v="8"/>
    <x v="0"/>
    <x v="3"/>
    <x v="2"/>
  </r>
  <r>
    <x v="486"/>
    <x v="5"/>
    <x v="5"/>
    <n v="35.799999999999997"/>
    <x v="459"/>
    <d v="2025-01-22T00:00:00"/>
    <x v="23"/>
    <x v="1"/>
    <x v="1"/>
    <x v="0"/>
    <s v="California"/>
    <x v="17"/>
    <x v="3"/>
    <x v="3"/>
    <x v="1"/>
  </r>
  <r>
    <x v="487"/>
    <x v="18"/>
    <x v="0"/>
    <n v="64.900000000000006"/>
    <x v="460"/>
    <d v="2025-01-22T00:00:00"/>
    <x v="23"/>
    <x v="1"/>
    <x v="0"/>
    <x v="1"/>
    <s v="California"/>
    <x v="17"/>
    <x v="3"/>
    <x v="3"/>
    <x v="1"/>
  </r>
  <r>
    <x v="488"/>
    <x v="18"/>
    <x v="0"/>
    <n v="28.5"/>
    <x v="425"/>
    <d v="2025-01-22T00:00:00"/>
    <x v="25"/>
    <x v="0"/>
    <x v="1"/>
    <x v="0"/>
    <s v="California"/>
    <x v="9"/>
    <x v="1"/>
    <x v="3"/>
    <x v="0"/>
  </r>
  <r>
    <x v="489"/>
    <x v="18"/>
    <x v="1"/>
    <n v="103.5"/>
    <x v="461"/>
    <d v="2025-01-22T00:00:00"/>
    <x v="25"/>
    <x v="2"/>
    <x v="1"/>
    <x v="0"/>
    <s v="California"/>
    <x v="10"/>
    <x v="1"/>
    <x v="3"/>
    <x v="2"/>
  </r>
  <r>
    <x v="490"/>
    <x v="4"/>
    <x v="1"/>
    <n v="41.2"/>
    <x v="462"/>
    <d v="2025-01-22T00:00:00"/>
    <x v="23"/>
    <x v="2"/>
    <x v="1"/>
    <x v="0"/>
    <s v="California"/>
    <x v="10"/>
    <x v="3"/>
    <x v="3"/>
    <x v="2"/>
  </r>
  <r>
    <x v="491"/>
    <x v="9"/>
    <x v="0"/>
    <n v="37.799999999999997"/>
    <x v="463"/>
    <d v="2025-01-22T00:00:00"/>
    <x v="25"/>
    <x v="2"/>
    <x v="3"/>
    <x v="3"/>
    <s v="California"/>
    <x v="11"/>
    <x v="1"/>
    <x v="3"/>
    <x v="2"/>
  </r>
  <r>
    <x v="492"/>
    <x v="8"/>
    <x v="1"/>
    <n v="42.6"/>
    <x v="464"/>
    <d v="2025-01-22T00:00:00"/>
    <x v="25"/>
    <x v="2"/>
    <x v="4"/>
    <x v="0"/>
    <s v="California"/>
    <x v="11"/>
    <x v="1"/>
    <x v="3"/>
    <x v="2"/>
  </r>
  <r>
    <x v="493"/>
    <x v="8"/>
    <x v="7"/>
    <n v="15.2"/>
    <x v="465"/>
    <d v="2025-01-22T00:00:00"/>
    <x v="25"/>
    <x v="2"/>
    <x v="2"/>
    <x v="0"/>
    <s v="California"/>
    <x v="11"/>
    <x v="1"/>
    <x v="3"/>
    <x v="2"/>
  </r>
  <r>
    <x v="494"/>
    <x v="7"/>
    <x v="12"/>
    <n v="83.4"/>
    <x v="335"/>
    <d v="2025-01-22T00:00:00"/>
    <x v="23"/>
    <x v="2"/>
    <x v="2"/>
    <x v="1"/>
    <s v="California"/>
    <x v="18"/>
    <x v="3"/>
    <x v="3"/>
    <x v="2"/>
  </r>
  <r>
    <x v="495"/>
    <x v="19"/>
    <x v="1"/>
    <n v="27.7"/>
    <x v="466"/>
    <d v="2025-01-22T00:00:00"/>
    <x v="23"/>
    <x v="2"/>
    <x v="0"/>
    <x v="1"/>
    <s v="California"/>
    <x v="13"/>
    <x v="3"/>
    <x v="3"/>
    <x v="2"/>
  </r>
  <r>
    <x v="496"/>
    <x v="10"/>
    <x v="4"/>
    <n v="20.8"/>
    <x v="467"/>
    <d v="2025-01-22T00:00:00"/>
    <x v="23"/>
    <x v="1"/>
    <x v="3"/>
    <x v="0"/>
    <s v="California"/>
    <x v="13"/>
    <x v="3"/>
    <x v="3"/>
    <x v="1"/>
  </r>
  <r>
    <x v="497"/>
    <x v="11"/>
    <x v="1"/>
    <n v="72.7"/>
    <x v="468"/>
    <d v="2025-01-22T00:00:00"/>
    <x v="19"/>
    <x v="2"/>
    <x v="4"/>
    <x v="2"/>
    <s v="California"/>
    <x v="44"/>
    <x v="5"/>
    <x v="3"/>
    <x v="2"/>
  </r>
  <r>
    <x v="498"/>
    <x v="10"/>
    <x v="12"/>
    <n v="38.6"/>
    <x v="55"/>
    <d v="2025-01-22T00:00:00"/>
    <x v="23"/>
    <x v="1"/>
    <x v="0"/>
    <x v="2"/>
    <s v="California"/>
    <x v="22"/>
    <x v="3"/>
    <x v="3"/>
    <x v="1"/>
  </r>
  <r>
    <x v="499"/>
    <x v="8"/>
    <x v="3"/>
    <n v="33.1"/>
    <x v="217"/>
    <d v="2025-01-22T00:00:00"/>
    <x v="23"/>
    <x v="3"/>
    <x v="4"/>
    <x v="3"/>
    <s v="California"/>
    <x v="3"/>
    <x v="3"/>
    <x v="3"/>
    <x v="3"/>
  </r>
  <r>
    <x v="500"/>
    <x v="10"/>
    <x v="1"/>
    <n v="30.5"/>
    <x v="170"/>
    <d v="2025-01-22T00:00:00"/>
    <x v="24"/>
    <x v="0"/>
    <x v="1"/>
    <x v="1"/>
    <s v="California"/>
    <x v="3"/>
    <x v="7"/>
    <x v="3"/>
    <x v="0"/>
  </r>
  <r>
    <x v="501"/>
    <x v="9"/>
    <x v="1"/>
    <n v="69.599999999999994"/>
    <x v="388"/>
    <d v="2025-01-22T00:00:00"/>
    <x v="23"/>
    <x v="1"/>
    <x v="0"/>
    <x v="1"/>
    <s v="California"/>
    <x v="3"/>
    <x v="3"/>
    <x v="3"/>
    <x v="1"/>
  </r>
  <r>
    <x v="502"/>
    <x v="11"/>
    <x v="0"/>
    <n v="42.4"/>
    <x v="469"/>
    <d v="2025-01-22T00:00:00"/>
    <x v="19"/>
    <x v="2"/>
    <x v="1"/>
    <x v="0"/>
    <s v="California"/>
    <x v="3"/>
    <x v="5"/>
    <x v="3"/>
    <x v="2"/>
  </r>
  <r>
    <x v="503"/>
    <x v="17"/>
    <x v="0"/>
    <n v="32.200000000000003"/>
    <x v="390"/>
    <d v="2025-01-22T00:00:00"/>
    <x v="17"/>
    <x v="2"/>
    <x v="2"/>
    <x v="1"/>
    <s v="California"/>
    <x v="3"/>
    <x v="2"/>
    <x v="3"/>
    <x v="2"/>
  </r>
  <r>
    <x v="504"/>
    <x v="6"/>
    <x v="1"/>
    <n v="41.5"/>
    <x v="470"/>
    <d v="2025-01-22T00:00:00"/>
    <x v="17"/>
    <x v="2"/>
    <x v="0"/>
    <x v="2"/>
    <s v="California"/>
    <x v="3"/>
    <x v="2"/>
    <x v="3"/>
    <x v="2"/>
  </r>
  <r>
    <x v="505"/>
    <x v="16"/>
    <x v="11"/>
    <n v="58.9"/>
    <x v="471"/>
    <d v="2025-01-22T00:00:00"/>
    <x v="19"/>
    <x v="2"/>
    <x v="3"/>
    <x v="0"/>
    <s v="California"/>
    <x v="3"/>
    <x v="5"/>
    <x v="3"/>
    <x v="2"/>
  </r>
  <r>
    <x v="506"/>
    <x v="2"/>
    <x v="0"/>
    <n v="57.1"/>
    <x v="472"/>
    <d v="2025-01-22T00:00:00"/>
    <x v="17"/>
    <x v="2"/>
    <x v="1"/>
    <x v="0"/>
    <s v="California"/>
    <x v="3"/>
    <x v="2"/>
    <x v="3"/>
    <x v="2"/>
  </r>
  <r>
    <x v="507"/>
    <x v="6"/>
    <x v="0"/>
    <n v="57.2"/>
    <x v="473"/>
    <d v="2025-01-22T00:00:00"/>
    <x v="25"/>
    <x v="1"/>
    <x v="1"/>
    <x v="0"/>
    <s v="California"/>
    <x v="3"/>
    <x v="1"/>
    <x v="3"/>
    <x v="1"/>
  </r>
  <r>
    <x v="508"/>
    <x v="8"/>
    <x v="1"/>
    <n v="35.1"/>
    <x v="474"/>
    <d v="2025-01-22T00:00:00"/>
    <x v="23"/>
    <x v="1"/>
    <x v="1"/>
    <x v="0"/>
    <s v="California"/>
    <x v="6"/>
    <x v="3"/>
    <x v="3"/>
    <x v="1"/>
  </r>
  <r>
    <x v="509"/>
    <x v="1"/>
    <x v="0"/>
    <n v="52.1"/>
    <x v="475"/>
    <d v="2025-01-22T00:00:00"/>
    <x v="25"/>
    <x v="2"/>
    <x v="4"/>
    <x v="1"/>
    <s v="California"/>
    <x v="8"/>
    <x v="1"/>
    <x v="3"/>
    <x v="2"/>
  </r>
  <r>
    <x v="510"/>
    <x v="13"/>
    <x v="2"/>
    <n v="59.8"/>
    <x v="476"/>
    <d v="2025-01-22T00:00:00"/>
    <x v="25"/>
    <x v="2"/>
    <x v="4"/>
    <x v="1"/>
    <s v="California"/>
    <x v="8"/>
    <x v="1"/>
    <x v="3"/>
    <x v="2"/>
  </r>
  <r>
    <x v="511"/>
    <x v="3"/>
    <x v="12"/>
    <n v="83.3"/>
    <x v="477"/>
    <d v="2025-01-22T00:00:00"/>
    <x v="24"/>
    <x v="0"/>
    <x v="2"/>
    <x v="0"/>
    <s v="California"/>
    <x v="8"/>
    <x v="7"/>
    <x v="3"/>
    <x v="0"/>
  </r>
  <r>
    <x v="512"/>
    <x v="15"/>
    <x v="4"/>
    <n v="41.3"/>
    <x v="478"/>
    <d v="2025-01-22T00:00:00"/>
    <x v="23"/>
    <x v="2"/>
    <x v="1"/>
    <x v="0"/>
    <s v="California"/>
    <x v="8"/>
    <x v="3"/>
    <x v="3"/>
    <x v="2"/>
  </r>
  <r>
    <x v="513"/>
    <x v="8"/>
    <x v="9"/>
    <n v="16"/>
    <x v="479"/>
    <d v="2025-01-22T00:00:00"/>
    <x v="25"/>
    <x v="1"/>
    <x v="4"/>
    <x v="1"/>
    <s v="California"/>
    <x v="9"/>
    <x v="1"/>
    <x v="3"/>
    <x v="1"/>
  </r>
  <r>
    <x v="514"/>
    <x v="10"/>
    <x v="1"/>
    <n v="20.8"/>
    <x v="480"/>
    <d v="2025-01-23T00:00:00"/>
    <x v="17"/>
    <x v="1"/>
    <x v="0"/>
    <x v="2"/>
    <s v="California"/>
    <x v="11"/>
    <x v="1"/>
    <x v="3"/>
    <x v="1"/>
  </r>
  <r>
    <x v="515"/>
    <x v="8"/>
    <x v="31"/>
    <n v="27.1"/>
    <x v="481"/>
    <d v="2025-01-23T00:00:00"/>
    <x v="25"/>
    <x v="0"/>
    <x v="3"/>
    <x v="2"/>
    <s v="California"/>
    <x v="11"/>
    <x v="3"/>
    <x v="3"/>
    <x v="0"/>
  </r>
  <r>
    <x v="516"/>
    <x v="10"/>
    <x v="1"/>
    <n v="38.9"/>
    <x v="482"/>
    <d v="2025-01-23T00:00:00"/>
    <x v="17"/>
    <x v="2"/>
    <x v="0"/>
    <x v="0"/>
    <s v="California"/>
    <x v="18"/>
    <x v="1"/>
    <x v="3"/>
    <x v="2"/>
  </r>
  <r>
    <x v="517"/>
    <x v="0"/>
    <x v="1"/>
    <n v="10.8"/>
    <x v="483"/>
    <d v="2025-01-23T00:00:00"/>
    <x v="19"/>
    <x v="2"/>
    <x v="1"/>
    <x v="2"/>
    <s v="California"/>
    <x v="45"/>
    <x v="2"/>
    <x v="3"/>
    <x v="2"/>
  </r>
  <r>
    <x v="518"/>
    <x v="4"/>
    <x v="15"/>
    <n v="48.4"/>
    <x v="484"/>
    <d v="2025-01-23T00:00:00"/>
    <x v="22"/>
    <x v="2"/>
    <x v="0"/>
    <x v="0"/>
    <s v="California"/>
    <x v="21"/>
    <x v="5"/>
    <x v="3"/>
    <x v="2"/>
  </r>
  <r>
    <x v="519"/>
    <x v="4"/>
    <x v="2"/>
    <n v="29.2"/>
    <x v="485"/>
    <d v="2025-01-23T00:00:00"/>
    <x v="19"/>
    <x v="2"/>
    <x v="1"/>
    <x v="1"/>
    <s v="California"/>
    <x v="2"/>
    <x v="2"/>
    <x v="3"/>
    <x v="2"/>
  </r>
  <r>
    <x v="520"/>
    <x v="4"/>
    <x v="1"/>
    <n v="25.1"/>
    <x v="486"/>
    <d v="2025-01-23T00:00:00"/>
    <x v="25"/>
    <x v="1"/>
    <x v="0"/>
    <x v="1"/>
    <s v="California"/>
    <x v="2"/>
    <x v="3"/>
    <x v="3"/>
    <x v="1"/>
  </r>
  <r>
    <x v="521"/>
    <x v="7"/>
    <x v="2"/>
    <n v="65.599999999999994"/>
    <x v="487"/>
    <d v="2025-01-23T00:00:00"/>
    <x v="23"/>
    <x v="2"/>
    <x v="2"/>
    <x v="1"/>
    <s v="California"/>
    <x v="3"/>
    <x v="7"/>
    <x v="3"/>
    <x v="2"/>
  </r>
  <r>
    <x v="522"/>
    <x v="2"/>
    <x v="1"/>
    <n v="57.3"/>
    <x v="488"/>
    <d v="2025-01-23T00:00:00"/>
    <x v="23"/>
    <x v="0"/>
    <x v="0"/>
    <x v="0"/>
    <s v="California"/>
    <x v="3"/>
    <x v="7"/>
    <x v="3"/>
    <x v="0"/>
  </r>
  <r>
    <x v="523"/>
    <x v="9"/>
    <x v="12"/>
    <n v="22.4"/>
    <x v="70"/>
    <d v="2025-01-23T00:00:00"/>
    <x v="25"/>
    <x v="2"/>
    <x v="2"/>
    <x v="2"/>
    <s v="California"/>
    <x v="3"/>
    <x v="3"/>
    <x v="3"/>
    <x v="2"/>
  </r>
  <r>
    <x v="524"/>
    <x v="12"/>
    <x v="11"/>
    <n v="45.7"/>
    <x v="489"/>
    <d v="2025-01-23T00:00:00"/>
    <x v="25"/>
    <x v="2"/>
    <x v="0"/>
    <x v="0"/>
    <s v="California"/>
    <x v="3"/>
    <x v="3"/>
    <x v="3"/>
    <x v="2"/>
  </r>
  <r>
    <x v="525"/>
    <x v="8"/>
    <x v="1"/>
    <n v="29.3"/>
    <x v="150"/>
    <d v="2025-01-23T00:00:00"/>
    <x v="25"/>
    <x v="1"/>
    <x v="1"/>
    <x v="0"/>
    <s v="California"/>
    <x v="3"/>
    <x v="3"/>
    <x v="3"/>
    <x v="1"/>
  </r>
  <r>
    <x v="526"/>
    <x v="18"/>
    <x v="32"/>
    <n v="74"/>
    <x v="490"/>
    <d v="2025-01-23T00:00:00"/>
    <x v="25"/>
    <x v="1"/>
    <x v="0"/>
    <x v="2"/>
    <s v="California"/>
    <x v="3"/>
    <x v="3"/>
    <x v="3"/>
    <x v="1"/>
  </r>
  <r>
    <x v="527"/>
    <x v="14"/>
    <x v="1"/>
    <n v="39.200000000000003"/>
    <x v="491"/>
    <d v="2025-01-23T00:00:00"/>
    <x v="17"/>
    <x v="2"/>
    <x v="1"/>
    <x v="0"/>
    <s v="California"/>
    <x v="3"/>
    <x v="1"/>
    <x v="3"/>
    <x v="2"/>
  </r>
  <r>
    <x v="528"/>
    <x v="4"/>
    <x v="14"/>
    <n v="62.7"/>
    <x v="492"/>
    <d v="2025-01-23T00:00:00"/>
    <x v="25"/>
    <x v="2"/>
    <x v="2"/>
    <x v="1"/>
    <s v="California"/>
    <x v="3"/>
    <x v="3"/>
    <x v="3"/>
    <x v="2"/>
  </r>
  <r>
    <x v="529"/>
    <x v="10"/>
    <x v="1"/>
    <n v="60.1"/>
    <x v="493"/>
    <d v="2025-01-23T00:00:00"/>
    <x v="25"/>
    <x v="2"/>
    <x v="3"/>
    <x v="0"/>
    <s v="California"/>
    <x v="3"/>
    <x v="3"/>
    <x v="3"/>
    <x v="2"/>
  </r>
  <r>
    <x v="530"/>
    <x v="0"/>
    <x v="12"/>
    <n v="11.2"/>
    <x v="438"/>
    <d v="2025-01-23T00:00:00"/>
    <x v="25"/>
    <x v="2"/>
    <x v="3"/>
    <x v="1"/>
    <s v="California"/>
    <x v="3"/>
    <x v="3"/>
    <x v="3"/>
    <x v="2"/>
  </r>
  <r>
    <x v="531"/>
    <x v="8"/>
    <x v="1"/>
    <n v="22.9"/>
    <x v="494"/>
    <d v="2025-01-23T00:00:00"/>
    <x v="25"/>
    <x v="2"/>
    <x v="0"/>
    <x v="0"/>
    <s v="California"/>
    <x v="6"/>
    <x v="3"/>
    <x v="3"/>
    <x v="2"/>
  </r>
  <r>
    <x v="532"/>
    <x v="1"/>
    <x v="1"/>
    <n v="37.6"/>
    <x v="495"/>
    <d v="2025-01-23T00:00:00"/>
    <x v="19"/>
    <x v="2"/>
    <x v="0"/>
    <x v="0"/>
    <s v="California"/>
    <x v="6"/>
    <x v="2"/>
    <x v="3"/>
    <x v="2"/>
  </r>
  <r>
    <x v="533"/>
    <x v="6"/>
    <x v="0"/>
    <n v="42.4"/>
    <x v="469"/>
    <d v="2025-01-23T00:00:00"/>
    <x v="25"/>
    <x v="2"/>
    <x v="3"/>
    <x v="2"/>
    <s v="California"/>
    <x v="6"/>
    <x v="3"/>
    <x v="3"/>
    <x v="2"/>
  </r>
  <r>
    <x v="534"/>
    <x v="8"/>
    <x v="1"/>
    <n v="19.600000000000001"/>
    <x v="496"/>
    <d v="2025-01-23T00:00:00"/>
    <x v="22"/>
    <x v="2"/>
    <x v="2"/>
    <x v="0"/>
    <s v="California"/>
    <x v="7"/>
    <x v="5"/>
    <x v="3"/>
    <x v="2"/>
  </r>
  <r>
    <x v="535"/>
    <x v="9"/>
    <x v="0"/>
    <n v="90.5"/>
    <x v="497"/>
    <d v="2025-01-23T00:00:00"/>
    <x v="19"/>
    <x v="2"/>
    <x v="2"/>
    <x v="0"/>
    <s v="California"/>
    <x v="7"/>
    <x v="2"/>
    <x v="3"/>
    <x v="2"/>
  </r>
  <r>
    <x v="536"/>
    <x v="16"/>
    <x v="5"/>
    <n v="33.9"/>
    <x v="498"/>
    <d v="2025-01-23T00:00:00"/>
    <x v="25"/>
    <x v="1"/>
    <x v="2"/>
    <x v="1"/>
    <s v="California"/>
    <x v="7"/>
    <x v="3"/>
    <x v="3"/>
    <x v="1"/>
  </r>
  <r>
    <x v="537"/>
    <x v="0"/>
    <x v="1"/>
    <n v="32.799999999999997"/>
    <x v="499"/>
    <d v="2025-01-23T00:00:00"/>
    <x v="17"/>
    <x v="2"/>
    <x v="4"/>
    <x v="4"/>
    <s v="California"/>
    <x v="8"/>
    <x v="1"/>
    <x v="3"/>
    <x v="2"/>
  </r>
  <r>
    <x v="538"/>
    <x v="15"/>
    <x v="0"/>
    <n v="49.9"/>
    <x v="500"/>
    <d v="2025-01-23T00:00:00"/>
    <x v="25"/>
    <x v="1"/>
    <x v="3"/>
    <x v="1"/>
    <s v="California"/>
    <x v="8"/>
    <x v="3"/>
    <x v="3"/>
    <x v="1"/>
  </r>
  <r>
    <x v="539"/>
    <x v="7"/>
    <x v="9"/>
    <n v="79.2"/>
    <x v="501"/>
    <d v="2025-01-23T00:00:00"/>
    <x v="25"/>
    <x v="2"/>
    <x v="4"/>
    <x v="0"/>
    <s v="California"/>
    <x v="8"/>
    <x v="3"/>
    <x v="3"/>
    <x v="2"/>
  </r>
  <r>
    <x v="540"/>
    <x v="8"/>
    <x v="27"/>
    <n v="19.5"/>
    <x v="502"/>
    <d v="2025-01-23T00:00:00"/>
    <x v="17"/>
    <x v="1"/>
    <x v="3"/>
    <x v="2"/>
    <s v="California"/>
    <x v="8"/>
    <x v="1"/>
    <x v="3"/>
    <x v="1"/>
  </r>
  <r>
    <x v="541"/>
    <x v="8"/>
    <x v="12"/>
    <n v="18"/>
    <x v="503"/>
    <d v="2025-01-23T00:00:00"/>
    <x v="25"/>
    <x v="1"/>
    <x v="1"/>
    <x v="0"/>
    <s v="California"/>
    <x v="10"/>
    <x v="3"/>
    <x v="3"/>
    <x v="1"/>
  </r>
  <r>
    <x v="542"/>
    <x v="9"/>
    <x v="2"/>
    <n v="45.9"/>
    <x v="223"/>
    <d v="2025-01-23T00:00:00"/>
    <x v="17"/>
    <x v="2"/>
    <x v="1"/>
    <x v="1"/>
    <s v="California"/>
    <x v="10"/>
    <x v="1"/>
    <x v="3"/>
    <x v="2"/>
  </r>
  <r>
    <x v="543"/>
    <x v="11"/>
    <x v="0"/>
    <n v="41.2"/>
    <x v="504"/>
    <d v="2025-01-23T00:00:00"/>
    <x v="17"/>
    <x v="2"/>
    <x v="1"/>
    <x v="2"/>
    <s v="California"/>
    <x v="11"/>
    <x v="1"/>
    <x v="3"/>
    <x v="2"/>
  </r>
  <r>
    <x v="544"/>
    <x v="2"/>
    <x v="7"/>
    <n v="167.2"/>
    <x v="505"/>
    <d v="2025-01-23T00:00:00"/>
    <x v="17"/>
    <x v="2"/>
    <x v="2"/>
    <x v="2"/>
    <s v="California"/>
    <x v="32"/>
    <x v="1"/>
    <x v="3"/>
    <x v="2"/>
  </r>
  <r>
    <x v="545"/>
    <x v="6"/>
    <x v="17"/>
    <n v="74.5"/>
    <x v="506"/>
    <d v="2025-01-24T00:00:00"/>
    <x v="22"/>
    <x v="2"/>
    <x v="1"/>
    <x v="2"/>
    <s v="California"/>
    <x v="38"/>
    <x v="2"/>
    <x v="3"/>
    <x v="2"/>
  </r>
  <r>
    <x v="546"/>
    <x v="7"/>
    <x v="12"/>
    <n v="39.299999999999997"/>
    <x v="507"/>
    <d v="2025-01-24T00:00:00"/>
    <x v="17"/>
    <x v="0"/>
    <x v="2"/>
    <x v="0"/>
    <s v="California"/>
    <x v="19"/>
    <x v="3"/>
    <x v="3"/>
    <x v="0"/>
  </r>
  <r>
    <x v="547"/>
    <x v="9"/>
    <x v="0"/>
    <n v="68.5"/>
    <x v="508"/>
    <d v="2025-01-24T00:00:00"/>
    <x v="22"/>
    <x v="1"/>
    <x v="1"/>
    <x v="2"/>
    <s v="California"/>
    <x v="12"/>
    <x v="2"/>
    <x v="3"/>
    <x v="1"/>
  </r>
  <r>
    <x v="548"/>
    <x v="0"/>
    <x v="2"/>
    <n v="22.5"/>
    <x v="509"/>
    <d v="2025-01-24T00:00:00"/>
    <x v="25"/>
    <x v="2"/>
    <x v="4"/>
    <x v="0"/>
    <s v="California"/>
    <x v="13"/>
    <x v="7"/>
    <x v="3"/>
    <x v="2"/>
  </r>
  <r>
    <x v="549"/>
    <x v="1"/>
    <x v="0"/>
    <n v="48"/>
    <x v="510"/>
    <d v="2025-01-24T00:00:00"/>
    <x v="17"/>
    <x v="3"/>
    <x v="4"/>
    <x v="1"/>
    <s v="California"/>
    <x v="46"/>
    <x v="3"/>
    <x v="3"/>
    <x v="3"/>
  </r>
  <r>
    <x v="550"/>
    <x v="6"/>
    <x v="0"/>
    <n v="94"/>
    <x v="255"/>
    <d v="2025-01-24T00:00:00"/>
    <x v="17"/>
    <x v="1"/>
    <x v="3"/>
    <x v="1"/>
    <s v="California"/>
    <x v="1"/>
    <x v="3"/>
    <x v="3"/>
    <x v="1"/>
  </r>
  <r>
    <x v="551"/>
    <x v="8"/>
    <x v="2"/>
    <n v="21.9"/>
    <x v="511"/>
    <d v="2025-01-24T00:00:00"/>
    <x v="17"/>
    <x v="2"/>
    <x v="0"/>
    <x v="0"/>
    <s v="California"/>
    <x v="44"/>
    <x v="3"/>
    <x v="3"/>
    <x v="2"/>
  </r>
  <r>
    <x v="552"/>
    <x v="6"/>
    <x v="3"/>
    <n v="64.900000000000006"/>
    <x v="512"/>
    <d v="2025-01-24T00:00:00"/>
    <x v="17"/>
    <x v="2"/>
    <x v="0"/>
    <x v="0"/>
    <s v="California"/>
    <x v="3"/>
    <x v="3"/>
    <x v="3"/>
    <x v="2"/>
  </r>
  <r>
    <x v="553"/>
    <x v="12"/>
    <x v="0"/>
    <n v="52.9"/>
    <x v="513"/>
    <d v="2025-01-24T00:00:00"/>
    <x v="25"/>
    <x v="2"/>
    <x v="1"/>
    <x v="1"/>
    <s v="California"/>
    <x v="3"/>
    <x v="7"/>
    <x v="3"/>
    <x v="2"/>
  </r>
  <r>
    <x v="554"/>
    <x v="8"/>
    <x v="2"/>
    <n v="25.5"/>
    <x v="514"/>
    <d v="2025-01-24T00:00:00"/>
    <x v="17"/>
    <x v="2"/>
    <x v="1"/>
    <x v="2"/>
    <s v="California"/>
    <x v="3"/>
    <x v="3"/>
    <x v="3"/>
    <x v="2"/>
  </r>
  <r>
    <x v="555"/>
    <x v="6"/>
    <x v="2"/>
    <n v="51.9"/>
    <x v="515"/>
    <d v="2025-01-24T00:00:00"/>
    <x v="17"/>
    <x v="2"/>
    <x v="3"/>
    <x v="0"/>
    <s v="California"/>
    <x v="3"/>
    <x v="3"/>
    <x v="3"/>
    <x v="2"/>
  </r>
  <r>
    <x v="556"/>
    <x v="5"/>
    <x v="0"/>
    <n v="46.3"/>
    <x v="516"/>
    <d v="2025-01-24T00:00:00"/>
    <x v="22"/>
    <x v="2"/>
    <x v="4"/>
    <x v="0"/>
    <s v="California"/>
    <x v="3"/>
    <x v="2"/>
    <x v="3"/>
    <x v="2"/>
  </r>
  <r>
    <x v="557"/>
    <x v="6"/>
    <x v="1"/>
    <n v="68.2"/>
    <x v="517"/>
    <d v="2025-01-24T00:00:00"/>
    <x v="19"/>
    <x v="2"/>
    <x v="3"/>
    <x v="0"/>
    <s v="California"/>
    <x v="3"/>
    <x v="1"/>
    <x v="3"/>
    <x v="2"/>
  </r>
  <r>
    <x v="558"/>
    <x v="1"/>
    <x v="0"/>
    <n v="40.299999999999997"/>
    <x v="518"/>
    <d v="2025-01-24T00:00:00"/>
    <x v="17"/>
    <x v="1"/>
    <x v="0"/>
    <x v="1"/>
    <s v="California"/>
    <x v="3"/>
    <x v="3"/>
    <x v="3"/>
    <x v="1"/>
  </r>
  <r>
    <x v="559"/>
    <x v="2"/>
    <x v="2"/>
    <n v="91.3"/>
    <x v="54"/>
    <d v="2025-01-24T00:00:00"/>
    <x v="28"/>
    <x v="1"/>
    <x v="0"/>
    <x v="2"/>
    <s v="California"/>
    <x v="6"/>
    <x v="0"/>
    <x v="3"/>
    <x v="1"/>
  </r>
  <r>
    <x v="560"/>
    <x v="0"/>
    <x v="2"/>
    <n v="11.9"/>
    <x v="519"/>
    <d v="2025-01-24T00:00:00"/>
    <x v="17"/>
    <x v="2"/>
    <x v="0"/>
    <x v="1"/>
    <s v="California"/>
    <x v="6"/>
    <x v="3"/>
    <x v="3"/>
    <x v="2"/>
  </r>
  <r>
    <x v="561"/>
    <x v="2"/>
    <x v="1"/>
    <n v="63.5"/>
    <x v="520"/>
    <d v="2025-01-24T00:00:00"/>
    <x v="19"/>
    <x v="1"/>
    <x v="1"/>
    <x v="0"/>
    <s v="California"/>
    <x v="6"/>
    <x v="1"/>
    <x v="3"/>
    <x v="1"/>
  </r>
  <r>
    <x v="562"/>
    <x v="4"/>
    <x v="1"/>
    <n v="27.1"/>
    <x v="521"/>
    <d v="2025-01-24T00:00:00"/>
    <x v="22"/>
    <x v="1"/>
    <x v="2"/>
    <x v="2"/>
    <s v="California"/>
    <x v="6"/>
    <x v="2"/>
    <x v="3"/>
    <x v="1"/>
  </r>
  <r>
    <x v="563"/>
    <x v="1"/>
    <x v="1"/>
    <n v="82.1"/>
    <x v="522"/>
    <d v="2025-01-25T00:00:00"/>
    <x v="29"/>
    <x v="1"/>
    <x v="1"/>
    <x v="1"/>
    <s v="California"/>
    <x v="7"/>
    <x v="2"/>
    <x v="3"/>
    <x v="1"/>
  </r>
  <r>
    <x v="564"/>
    <x v="3"/>
    <x v="9"/>
    <n v="42.9"/>
    <x v="523"/>
    <d v="2025-01-25T00:00:00"/>
    <x v="22"/>
    <x v="2"/>
    <x v="1"/>
    <x v="0"/>
    <s v="California"/>
    <x v="8"/>
    <x v="1"/>
    <x v="3"/>
    <x v="2"/>
  </r>
  <r>
    <x v="565"/>
    <x v="8"/>
    <x v="5"/>
    <n v="37.9"/>
    <x v="524"/>
    <d v="2025-01-25T00:00:00"/>
    <x v="30"/>
    <x v="1"/>
    <x v="0"/>
    <x v="0"/>
    <s v="California"/>
    <x v="8"/>
    <x v="6"/>
    <x v="3"/>
    <x v="1"/>
  </r>
  <r>
    <x v="566"/>
    <x v="0"/>
    <x v="0"/>
    <n v="22.4"/>
    <x v="525"/>
    <d v="2025-01-25T00:00:00"/>
    <x v="19"/>
    <x v="2"/>
    <x v="0"/>
    <x v="1"/>
    <s v="California"/>
    <x v="17"/>
    <x v="3"/>
    <x v="3"/>
    <x v="2"/>
  </r>
  <r>
    <x v="567"/>
    <x v="2"/>
    <x v="15"/>
    <n v="79.900000000000006"/>
    <x v="526"/>
    <d v="2025-01-25T00:00:00"/>
    <x v="31"/>
    <x v="2"/>
    <x v="3"/>
    <x v="1"/>
    <s v="California"/>
    <x v="11"/>
    <x v="10"/>
    <x v="3"/>
    <x v="2"/>
  </r>
  <r>
    <x v="568"/>
    <x v="1"/>
    <x v="0"/>
    <n v="70.599999999999994"/>
    <x v="527"/>
    <d v="2025-01-25T00:00:00"/>
    <x v="29"/>
    <x v="2"/>
    <x v="0"/>
    <x v="1"/>
    <s v="California"/>
    <x v="11"/>
    <x v="2"/>
    <x v="3"/>
    <x v="2"/>
  </r>
  <r>
    <x v="569"/>
    <x v="6"/>
    <x v="0"/>
    <n v="49.5"/>
    <x v="528"/>
    <d v="2025-01-25T00:00:00"/>
    <x v="22"/>
    <x v="1"/>
    <x v="0"/>
    <x v="0"/>
    <s v="California"/>
    <x v="13"/>
    <x v="1"/>
    <x v="3"/>
    <x v="1"/>
  </r>
  <r>
    <x v="570"/>
    <x v="2"/>
    <x v="1"/>
    <n v="96.6"/>
    <x v="529"/>
    <d v="2025-01-25T00:00:00"/>
    <x v="22"/>
    <x v="1"/>
    <x v="0"/>
    <x v="0"/>
    <s v="California"/>
    <x v="21"/>
    <x v="1"/>
    <x v="3"/>
    <x v="1"/>
  </r>
  <r>
    <x v="571"/>
    <x v="6"/>
    <x v="1"/>
    <n v="52.8"/>
    <x v="142"/>
    <d v="2025-01-25T00:00:00"/>
    <x v="19"/>
    <x v="2"/>
    <x v="1"/>
    <x v="1"/>
    <s v="California"/>
    <x v="21"/>
    <x v="3"/>
    <x v="3"/>
    <x v="2"/>
  </r>
  <r>
    <x v="572"/>
    <x v="2"/>
    <x v="0"/>
    <n v="101.7"/>
    <x v="530"/>
    <d v="2025-01-25T00:00:00"/>
    <x v="19"/>
    <x v="1"/>
    <x v="0"/>
    <x v="0"/>
    <s v="California"/>
    <x v="1"/>
    <x v="3"/>
    <x v="3"/>
    <x v="1"/>
  </r>
  <r>
    <x v="573"/>
    <x v="4"/>
    <x v="9"/>
    <n v="26.9"/>
    <x v="531"/>
    <d v="2025-01-25T00:00:00"/>
    <x v="26"/>
    <x v="2"/>
    <x v="1"/>
    <x v="1"/>
    <s v="California"/>
    <x v="22"/>
    <x v="0"/>
    <x v="3"/>
    <x v="2"/>
  </r>
  <r>
    <x v="574"/>
    <x v="2"/>
    <x v="12"/>
    <n v="211"/>
    <x v="532"/>
    <d v="2025-01-25T00:00:00"/>
    <x v="17"/>
    <x v="2"/>
    <x v="1"/>
    <x v="1"/>
    <s v="California"/>
    <x v="3"/>
    <x v="7"/>
    <x v="3"/>
    <x v="2"/>
  </r>
  <r>
    <x v="575"/>
    <x v="0"/>
    <x v="12"/>
    <n v="21.1"/>
    <x v="533"/>
    <d v="2025-01-25T00:00:00"/>
    <x v="29"/>
    <x v="1"/>
    <x v="4"/>
    <x v="0"/>
    <s v="California"/>
    <x v="3"/>
    <x v="2"/>
    <x v="3"/>
    <x v="1"/>
  </r>
  <r>
    <x v="576"/>
    <x v="10"/>
    <x v="0"/>
    <n v="26.6"/>
    <x v="534"/>
    <d v="2025-01-25T00:00:00"/>
    <x v="22"/>
    <x v="1"/>
    <x v="0"/>
    <x v="4"/>
    <s v="California"/>
    <x v="3"/>
    <x v="1"/>
    <x v="3"/>
    <x v="1"/>
  </r>
  <r>
    <x v="577"/>
    <x v="12"/>
    <x v="12"/>
    <n v="51.2"/>
    <x v="403"/>
    <d v="2025-01-25T00:00:00"/>
    <x v="19"/>
    <x v="2"/>
    <x v="3"/>
    <x v="0"/>
    <s v="California"/>
    <x v="47"/>
    <x v="3"/>
    <x v="3"/>
    <x v="2"/>
  </r>
  <r>
    <x v="578"/>
    <x v="0"/>
    <x v="9"/>
    <n v="10.6"/>
    <x v="535"/>
    <d v="2025-01-25T00:00:00"/>
    <x v="28"/>
    <x v="2"/>
    <x v="0"/>
    <x v="0"/>
    <s v="California"/>
    <x v="8"/>
    <x v="5"/>
    <x v="3"/>
    <x v="2"/>
  </r>
  <r>
    <x v="579"/>
    <x v="6"/>
    <x v="2"/>
    <n v="43.4"/>
    <x v="33"/>
    <d v="2025-01-25T00:00:00"/>
    <x v="29"/>
    <x v="2"/>
    <x v="4"/>
    <x v="0"/>
    <s v="California"/>
    <x v="8"/>
    <x v="2"/>
    <x v="3"/>
    <x v="2"/>
  </r>
  <r>
    <x v="580"/>
    <x v="12"/>
    <x v="0"/>
    <n v="80"/>
    <x v="479"/>
    <d v="2025-01-25T00:00:00"/>
    <x v="17"/>
    <x v="2"/>
    <x v="0"/>
    <x v="2"/>
    <s v="California"/>
    <x v="8"/>
    <x v="7"/>
    <x v="3"/>
    <x v="2"/>
  </r>
  <r>
    <x v="581"/>
    <x v="10"/>
    <x v="12"/>
    <n v="64.7"/>
    <x v="536"/>
    <d v="2025-01-25T00:00:00"/>
    <x v="22"/>
    <x v="2"/>
    <x v="1"/>
    <x v="4"/>
    <s v="California"/>
    <x v="8"/>
    <x v="1"/>
    <x v="3"/>
    <x v="2"/>
  </r>
  <r>
    <x v="582"/>
    <x v="8"/>
    <x v="5"/>
    <n v="26.3"/>
    <x v="537"/>
    <d v="2025-01-26T00:00:00"/>
    <x v="19"/>
    <x v="2"/>
    <x v="4"/>
    <x v="1"/>
    <s v="California"/>
    <x v="26"/>
    <x v="7"/>
    <x v="4"/>
    <x v="2"/>
  </r>
  <r>
    <x v="583"/>
    <x v="10"/>
    <x v="0"/>
    <n v="28.5"/>
    <x v="425"/>
    <d v="2025-01-26T00:00:00"/>
    <x v="19"/>
    <x v="1"/>
    <x v="0"/>
    <x v="1"/>
    <s v="California"/>
    <x v="9"/>
    <x v="7"/>
    <x v="4"/>
    <x v="1"/>
  </r>
  <r>
    <x v="584"/>
    <x v="17"/>
    <x v="0"/>
    <n v="47.8"/>
    <x v="538"/>
    <d v="2025-01-26T00:00:00"/>
    <x v="29"/>
    <x v="2"/>
    <x v="0"/>
    <x v="1"/>
    <s v="California"/>
    <x v="9"/>
    <x v="1"/>
    <x v="4"/>
    <x v="2"/>
  </r>
  <r>
    <x v="585"/>
    <x v="10"/>
    <x v="2"/>
    <n v="42.8"/>
    <x v="539"/>
    <d v="2025-01-26T00:00:00"/>
    <x v="28"/>
    <x v="2"/>
    <x v="4"/>
    <x v="1"/>
    <s v="California"/>
    <x v="11"/>
    <x v="2"/>
    <x v="4"/>
    <x v="2"/>
  </r>
  <r>
    <x v="586"/>
    <x v="6"/>
    <x v="9"/>
    <n v="46.8"/>
    <x v="540"/>
    <d v="2025-01-26T00:00:00"/>
    <x v="27"/>
    <x v="2"/>
    <x v="1"/>
    <x v="2"/>
    <s v="California"/>
    <x v="11"/>
    <x v="0"/>
    <x v="4"/>
    <x v="2"/>
  </r>
  <r>
    <x v="587"/>
    <x v="1"/>
    <x v="7"/>
    <n v="64.099999999999994"/>
    <x v="541"/>
    <d v="2025-01-26T00:00:00"/>
    <x v="22"/>
    <x v="1"/>
    <x v="1"/>
    <x v="0"/>
    <s v="California"/>
    <x v="11"/>
    <x v="3"/>
    <x v="4"/>
    <x v="1"/>
  </r>
  <r>
    <x v="588"/>
    <x v="2"/>
    <x v="0"/>
    <n v="89.1"/>
    <x v="542"/>
    <d v="2025-01-26T00:00:00"/>
    <x v="22"/>
    <x v="2"/>
    <x v="0"/>
    <x v="1"/>
    <s v="California"/>
    <x v="20"/>
    <x v="3"/>
    <x v="4"/>
    <x v="2"/>
  </r>
  <r>
    <x v="589"/>
    <x v="2"/>
    <x v="2"/>
    <n v="83.1"/>
    <x v="543"/>
    <d v="2025-01-26T00:00:00"/>
    <x v="22"/>
    <x v="2"/>
    <x v="2"/>
    <x v="1"/>
    <s v="California"/>
    <x v="13"/>
    <x v="3"/>
    <x v="4"/>
    <x v="2"/>
  </r>
  <r>
    <x v="590"/>
    <x v="8"/>
    <x v="2"/>
    <n v="40.9"/>
    <x v="544"/>
    <d v="2025-01-26T00:00:00"/>
    <x v="22"/>
    <x v="1"/>
    <x v="0"/>
    <x v="0"/>
    <s v="California"/>
    <x v="1"/>
    <x v="3"/>
    <x v="4"/>
    <x v="1"/>
  </r>
  <r>
    <x v="591"/>
    <x v="2"/>
    <x v="1"/>
    <n v="125.7"/>
    <x v="545"/>
    <d v="2025-01-26T00:00:00"/>
    <x v="22"/>
    <x v="2"/>
    <x v="3"/>
    <x v="0"/>
    <s v="California"/>
    <x v="2"/>
    <x v="3"/>
    <x v="4"/>
    <x v="2"/>
  </r>
  <r>
    <x v="592"/>
    <x v="3"/>
    <x v="1"/>
    <n v="30.9"/>
    <x v="546"/>
    <d v="2025-01-26T00:00:00"/>
    <x v="19"/>
    <x v="2"/>
    <x v="2"/>
    <x v="2"/>
    <s v="California"/>
    <x v="22"/>
    <x v="7"/>
    <x v="4"/>
    <x v="2"/>
  </r>
  <r>
    <x v="593"/>
    <x v="8"/>
    <x v="1"/>
    <n v="18.3"/>
    <x v="547"/>
    <d v="2025-01-26T00:00:00"/>
    <x v="22"/>
    <x v="2"/>
    <x v="1"/>
    <x v="0"/>
    <s v="California"/>
    <x v="3"/>
    <x v="3"/>
    <x v="4"/>
    <x v="2"/>
  </r>
  <r>
    <x v="594"/>
    <x v="4"/>
    <x v="1"/>
    <n v="56.5"/>
    <x v="548"/>
    <d v="2025-01-26T00:00:00"/>
    <x v="26"/>
    <x v="1"/>
    <x v="2"/>
    <x v="2"/>
    <s v="California"/>
    <x v="3"/>
    <x v="5"/>
    <x v="4"/>
    <x v="1"/>
  </r>
  <r>
    <x v="595"/>
    <x v="10"/>
    <x v="3"/>
    <n v="29.9"/>
    <x v="549"/>
    <d v="2025-01-26T00:00:00"/>
    <x v="29"/>
    <x v="1"/>
    <x v="4"/>
    <x v="2"/>
    <s v="California"/>
    <x v="3"/>
    <x v="1"/>
    <x v="4"/>
    <x v="1"/>
  </r>
  <r>
    <x v="596"/>
    <x v="5"/>
    <x v="1"/>
    <n v="50.4"/>
    <x v="90"/>
    <d v="2025-01-26T00:00:00"/>
    <x v="22"/>
    <x v="2"/>
    <x v="2"/>
    <x v="0"/>
    <s v="California"/>
    <x v="3"/>
    <x v="3"/>
    <x v="4"/>
    <x v="2"/>
  </r>
  <r>
    <x v="597"/>
    <x v="2"/>
    <x v="0"/>
    <n v="85.8"/>
    <x v="550"/>
    <d v="2025-01-26T00:00:00"/>
    <x v="19"/>
    <x v="2"/>
    <x v="2"/>
    <x v="2"/>
    <s v="California"/>
    <x v="3"/>
    <x v="7"/>
    <x v="4"/>
    <x v="2"/>
  </r>
  <r>
    <x v="598"/>
    <x v="4"/>
    <x v="27"/>
    <n v="66.599999999999994"/>
    <x v="551"/>
    <d v="2025-01-26T00:00:00"/>
    <x v="29"/>
    <x v="1"/>
    <x v="1"/>
    <x v="0"/>
    <s v="California"/>
    <x v="3"/>
    <x v="1"/>
    <x v="4"/>
    <x v="1"/>
  </r>
  <r>
    <x v="599"/>
    <x v="6"/>
    <x v="12"/>
    <n v="70.3"/>
    <x v="552"/>
    <d v="2025-01-26T00:00:00"/>
    <x v="22"/>
    <x v="2"/>
    <x v="0"/>
    <x v="1"/>
    <s v="California"/>
    <x v="3"/>
    <x v="3"/>
    <x v="4"/>
    <x v="2"/>
  </r>
  <r>
    <x v="600"/>
    <x v="8"/>
    <x v="12"/>
    <n v="31"/>
    <x v="553"/>
    <d v="2025-01-26T00:00:00"/>
    <x v="28"/>
    <x v="1"/>
    <x v="0"/>
    <x v="2"/>
    <s v="California"/>
    <x v="3"/>
    <x v="2"/>
    <x v="4"/>
    <x v="1"/>
  </r>
  <r>
    <x v="601"/>
    <x v="7"/>
    <x v="13"/>
    <n v="81.599999999999994"/>
    <x v="554"/>
    <d v="2025-01-26T00:00:00"/>
    <x v="22"/>
    <x v="2"/>
    <x v="1"/>
    <x v="1"/>
    <s v="California"/>
    <x v="37"/>
    <x v="3"/>
    <x v="4"/>
    <x v="2"/>
  </r>
  <r>
    <x v="602"/>
    <x v="1"/>
    <x v="30"/>
    <n v="58.3"/>
    <x v="555"/>
    <d v="2025-01-26T00:00:00"/>
    <x v="22"/>
    <x v="2"/>
    <x v="0"/>
    <x v="0"/>
    <s v="California"/>
    <x v="16"/>
    <x v="3"/>
    <x v="4"/>
    <x v="2"/>
  </r>
  <r>
    <x v="603"/>
    <x v="1"/>
    <x v="12"/>
    <n v="35.1"/>
    <x v="381"/>
    <d v="2025-01-26T00:00:00"/>
    <x v="29"/>
    <x v="1"/>
    <x v="0"/>
    <x v="2"/>
    <s v="California"/>
    <x v="8"/>
    <x v="1"/>
    <x v="4"/>
    <x v="1"/>
  </r>
  <r>
    <x v="604"/>
    <x v="2"/>
    <x v="0"/>
    <n v="80.2"/>
    <x v="556"/>
    <d v="2025-01-26T00:00:00"/>
    <x v="22"/>
    <x v="1"/>
    <x v="3"/>
    <x v="2"/>
    <s v="California"/>
    <x v="8"/>
    <x v="3"/>
    <x v="4"/>
    <x v="1"/>
  </r>
  <r>
    <x v="605"/>
    <x v="14"/>
    <x v="2"/>
    <n v="39.200000000000003"/>
    <x v="557"/>
    <d v="2025-01-26T00:00:00"/>
    <x v="29"/>
    <x v="2"/>
    <x v="1"/>
    <x v="0"/>
    <s v="California"/>
    <x v="9"/>
    <x v="1"/>
    <x v="4"/>
    <x v="2"/>
  </r>
  <r>
    <x v="606"/>
    <x v="0"/>
    <x v="1"/>
    <n v="15.4"/>
    <x v="558"/>
    <d v="2025-01-26T00:00:00"/>
    <x v="19"/>
    <x v="2"/>
    <x v="3"/>
    <x v="0"/>
    <s v="California"/>
    <x v="48"/>
    <x v="7"/>
    <x v="4"/>
    <x v="2"/>
  </r>
  <r>
    <x v="607"/>
    <x v="3"/>
    <x v="2"/>
    <n v="65.400000000000006"/>
    <x v="338"/>
    <d v="2025-01-26T00:00:00"/>
    <x v="28"/>
    <x v="1"/>
    <x v="3"/>
    <x v="0"/>
    <s v="California"/>
    <x v="18"/>
    <x v="2"/>
    <x v="4"/>
    <x v="1"/>
  </r>
  <r>
    <x v="608"/>
    <x v="1"/>
    <x v="8"/>
    <n v="63.2"/>
    <x v="559"/>
    <d v="2025-01-26T00:00:00"/>
    <x v="29"/>
    <x v="2"/>
    <x v="1"/>
    <x v="0"/>
    <s v="California"/>
    <x v="19"/>
    <x v="1"/>
    <x v="4"/>
    <x v="2"/>
  </r>
  <r>
    <x v="609"/>
    <x v="1"/>
    <x v="13"/>
    <n v="35.700000000000003"/>
    <x v="560"/>
    <d v="2025-01-26T00:00:00"/>
    <x v="26"/>
    <x v="2"/>
    <x v="4"/>
    <x v="1"/>
    <s v="California"/>
    <x v="19"/>
    <x v="5"/>
    <x v="4"/>
    <x v="2"/>
  </r>
  <r>
    <x v="610"/>
    <x v="0"/>
    <x v="28"/>
    <n v="26.2"/>
    <x v="561"/>
    <d v="2025-01-26T00:00:00"/>
    <x v="22"/>
    <x v="2"/>
    <x v="3"/>
    <x v="0"/>
    <s v="California"/>
    <x v="21"/>
    <x v="3"/>
    <x v="4"/>
    <x v="2"/>
  </r>
  <r>
    <x v="611"/>
    <x v="7"/>
    <x v="1"/>
    <n v="31"/>
    <x v="85"/>
    <d v="2025-01-26T00:00:00"/>
    <x v="22"/>
    <x v="2"/>
    <x v="0"/>
    <x v="2"/>
    <s v="California"/>
    <x v="1"/>
    <x v="3"/>
    <x v="4"/>
    <x v="2"/>
  </r>
  <r>
    <x v="612"/>
    <x v="8"/>
    <x v="12"/>
    <n v="37.700000000000003"/>
    <x v="562"/>
    <d v="2025-01-26T00:00:00"/>
    <x v="22"/>
    <x v="2"/>
    <x v="1"/>
    <x v="0"/>
    <s v="California"/>
    <x v="22"/>
    <x v="3"/>
    <x v="4"/>
    <x v="2"/>
  </r>
  <r>
    <x v="613"/>
    <x v="10"/>
    <x v="33"/>
    <n v="43.6"/>
    <x v="563"/>
    <d v="2025-01-26T00:00:00"/>
    <x v="29"/>
    <x v="2"/>
    <x v="4"/>
    <x v="1"/>
    <s v="California"/>
    <x v="3"/>
    <x v="1"/>
    <x v="4"/>
    <x v="2"/>
  </r>
  <r>
    <x v="614"/>
    <x v="9"/>
    <x v="12"/>
    <n v="26.5"/>
    <x v="101"/>
    <d v="2025-01-26T00:00:00"/>
    <x v="29"/>
    <x v="1"/>
    <x v="0"/>
    <x v="4"/>
    <s v="California"/>
    <x v="3"/>
    <x v="1"/>
    <x v="4"/>
    <x v="1"/>
  </r>
  <r>
    <x v="615"/>
    <x v="0"/>
    <x v="1"/>
    <n v="34.6"/>
    <x v="564"/>
    <d v="2025-01-26T00:00:00"/>
    <x v="22"/>
    <x v="1"/>
    <x v="4"/>
    <x v="1"/>
    <s v="California"/>
    <x v="3"/>
    <x v="3"/>
    <x v="4"/>
    <x v="1"/>
  </r>
  <r>
    <x v="616"/>
    <x v="8"/>
    <x v="1"/>
    <n v="58.2"/>
    <x v="565"/>
    <d v="2025-01-26T00:00:00"/>
    <x v="22"/>
    <x v="1"/>
    <x v="2"/>
    <x v="2"/>
    <s v="California"/>
    <x v="3"/>
    <x v="3"/>
    <x v="4"/>
    <x v="1"/>
  </r>
  <r>
    <x v="617"/>
    <x v="7"/>
    <x v="0"/>
    <n v="30.2"/>
    <x v="242"/>
    <d v="2025-01-27T00:00:00"/>
    <x v="29"/>
    <x v="2"/>
    <x v="2"/>
    <x v="1"/>
    <s v="California"/>
    <x v="3"/>
    <x v="3"/>
    <x v="4"/>
    <x v="2"/>
  </r>
  <r>
    <x v="618"/>
    <x v="1"/>
    <x v="7"/>
    <n v="53.2"/>
    <x v="566"/>
    <d v="2025-01-27T00:00:00"/>
    <x v="29"/>
    <x v="1"/>
    <x v="0"/>
    <x v="2"/>
    <s v="California"/>
    <x v="5"/>
    <x v="3"/>
    <x v="4"/>
    <x v="1"/>
  </r>
  <r>
    <x v="619"/>
    <x v="12"/>
    <x v="13"/>
    <n v="51.1"/>
    <x v="567"/>
    <d v="2025-01-27T00:00:00"/>
    <x v="22"/>
    <x v="1"/>
    <x v="1"/>
    <x v="2"/>
    <s v="California"/>
    <x v="5"/>
    <x v="7"/>
    <x v="4"/>
    <x v="1"/>
  </r>
  <r>
    <x v="620"/>
    <x v="1"/>
    <x v="0"/>
    <n v="105.4"/>
    <x v="568"/>
    <d v="2025-01-27T00:00:00"/>
    <x v="27"/>
    <x v="2"/>
    <x v="1"/>
    <x v="2"/>
    <s v="California"/>
    <x v="23"/>
    <x v="5"/>
    <x v="4"/>
    <x v="2"/>
  </r>
  <r>
    <x v="621"/>
    <x v="7"/>
    <x v="0"/>
    <n v="57.7"/>
    <x v="569"/>
    <d v="2025-01-27T00:00:00"/>
    <x v="22"/>
    <x v="1"/>
    <x v="0"/>
    <x v="4"/>
    <s v="California"/>
    <x v="8"/>
    <x v="7"/>
    <x v="4"/>
    <x v="1"/>
  </r>
  <r>
    <x v="622"/>
    <x v="15"/>
    <x v="1"/>
    <n v="72.400000000000006"/>
    <x v="353"/>
    <d v="2025-01-27T00:00:00"/>
    <x v="30"/>
    <x v="2"/>
    <x v="0"/>
    <x v="0"/>
    <s v="California"/>
    <x v="17"/>
    <x v="0"/>
    <x v="4"/>
    <x v="2"/>
  </r>
  <r>
    <x v="623"/>
    <x v="6"/>
    <x v="1"/>
    <n v="62.5"/>
    <x v="570"/>
    <d v="2025-01-27T00:00:00"/>
    <x v="29"/>
    <x v="0"/>
    <x v="0"/>
    <x v="2"/>
    <s v="California"/>
    <x v="11"/>
    <x v="3"/>
    <x v="4"/>
    <x v="0"/>
  </r>
  <r>
    <x v="624"/>
    <x v="0"/>
    <x v="32"/>
    <n v="11.6"/>
    <x v="281"/>
    <d v="2025-01-27T00:00:00"/>
    <x v="28"/>
    <x v="2"/>
    <x v="3"/>
    <x v="2"/>
    <s v="California"/>
    <x v="18"/>
    <x v="1"/>
    <x v="4"/>
    <x v="2"/>
  </r>
  <r>
    <x v="625"/>
    <x v="10"/>
    <x v="7"/>
    <n v="39.6"/>
    <x v="501"/>
    <d v="2025-01-27T00:00:00"/>
    <x v="28"/>
    <x v="2"/>
    <x v="2"/>
    <x v="2"/>
    <s v="California"/>
    <x v="18"/>
    <x v="1"/>
    <x v="4"/>
    <x v="2"/>
  </r>
  <r>
    <x v="626"/>
    <x v="8"/>
    <x v="1"/>
    <n v="40.1"/>
    <x v="556"/>
    <d v="2025-01-27T00:00:00"/>
    <x v="29"/>
    <x v="2"/>
    <x v="2"/>
    <x v="0"/>
    <s v="California"/>
    <x v="18"/>
    <x v="3"/>
    <x v="4"/>
    <x v="2"/>
  </r>
  <r>
    <x v="627"/>
    <x v="8"/>
    <x v="2"/>
    <n v="18.600000000000001"/>
    <x v="571"/>
    <d v="2025-01-27T00:00:00"/>
    <x v="29"/>
    <x v="2"/>
    <x v="2"/>
    <x v="0"/>
    <s v="California"/>
    <x v="21"/>
    <x v="3"/>
    <x v="4"/>
    <x v="2"/>
  </r>
  <r>
    <x v="628"/>
    <x v="4"/>
    <x v="0"/>
    <n v="58.8"/>
    <x v="572"/>
    <d v="2025-01-27T00:00:00"/>
    <x v="28"/>
    <x v="2"/>
    <x v="0"/>
    <x v="1"/>
    <s v="California"/>
    <x v="21"/>
    <x v="1"/>
    <x v="4"/>
    <x v="2"/>
  </r>
  <r>
    <x v="629"/>
    <x v="8"/>
    <x v="1"/>
    <n v="22.1"/>
    <x v="573"/>
    <d v="2025-01-27T00:00:00"/>
    <x v="26"/>
    <x v="1"/>
    <x v="1"/>
    <x v="2"/>
    <s v="California"/>
    <x v="21"/>
    <x v="2"/>
    <x v="4"/>
    <x v="1"/>
  </r>
  <r>
    <x v="630"/>
    <x v="2"/>
    <x v="0"/>
    <n v="114.9"/>
    <x v="574"/>
    <d v="2025-01-28T00:00:00"/>
    <x v="28"/>
    <x v="2"/>
    <x v="1"/>
    <x v="1"/>
    <s v="California"/>
    <x v="22"/>
    <x v="3"/>
    <x v="4"/>
    <x v="2"/>
  </r>
  <r>
    <x v="631"/>
    <x v="9"/>
    <x v="9"/>
    <n v="75.8"/>
    <x v="575"/>
    <d v="2025-01-28T00:00:00"/>
    <x v="28"/>
    <x v="1"/>
    <x v="0"/>
    <x v="2"/>
    <s v="California"/>
    <x v="3"/>
    <x v="3"/>
    <x v="4"/>
    <x v="1"/>
  </r>
  <r>
    <x v="632"/>
    <x v="14"/>
    <x v="9"/>
    <n v="20.6"/>
    <x v="576"/>
    <d v="2025-01-28T00:00:00"/>
    <x v="28"/>
    <x v="1"/>
    <x v="2"/>
    <x v="2"/>
    <s v="California"/>
    <x v="3"/>
    <x v="3"/>
    <x v="4"/>
    <x v="1"/>
  </r>
  <r>
    <x v="633"/>
    <x v="17"/>
    <x v="2"/>
    <n v="67.900000000000006"/>
    <x v="577"/>
    <d v="2025-01-28T00:00:00"/>
    <x v="28"/>
    <x v="2"/>
    <x v="1"/>
    <x v="1"/>
    <s v="California"/>
    <x v="3"/>
    <x v="3"/>
    <x v="4"/>
    <x v="2"/>
  </r>
  <r>
    <x v="634"/>
    <x v="0"/>
    <x v="9"/>
    <n v="27"/>
    <x v="340"/>
    <d v="2025-01-28T00:00:00"/>
    <x v="32"/>
    <x v="2"/>
    <x v="0"/>
    <x v="2"/>
    <s v="California"/>
    <x v="3"/>
    <x v="6"/>
    <x v="4"/>
    <x v="2"/>
  </r>
  <r>
    <x v="635"/>
    <x v="13"/>
    <x v="0"/>
    <n v="50.6"/>
    <x v="578"/>
    <d v="2025-01-28T00:00:00"/>
    <x v="29"/>
    <x v="1"/>
    <x v="0"/>
    <x v="1"/>
    <s v="California"/>
    <x v="3"/>
    <x v="7"/>
    <x v="4"/>
    <x v="1"/>
  </r>
  <r>
    <x v="636"/>
    <x v="4"/>
    <x v="9"/>
    <n v="22.1"/>
    <x v="579"/>
    <d v="2025-01-28T00:00:00"/>
    <x v="33"/>
    <x v="1"/>
    <x v="0"/>
    <x v="0"/>
    <s v="California"/>
    <x v="3"/>
    <x v="0"/>
    <x v="4"/>
    <x v="1"/>
  </r>
  <r>
    <x v="637"/>
    <x v="8"/>
    <x v="2"/>
    <n v="42.9"/>
    <x v="580"/>
    <d v="2025-01-28T00:00:00"/>
    <x v="26"/>
    <x v="2"/>
    <x v="0"/>
    <x v="0"/>
    <s v="California"/>
    <x v="3"/>
    <x v="1"/>
    <x v="4"/>
    <x v="2"/>
  </r>
  <r>
    <x v="638"/>
    <x v="1"/>
    <x v="5"/>
    <n v="62.4"/>
    <x v="581"/>
    <d v="2025-01-28T00:00:00"/>
    <x v="26"/>
    <x v="2"/>
    <x v="2"/>
    <x v="0"/>
    <s v="California"/>
    <x v="3"/>
    <x v="1"/>
    <x v="4"/>
    <x v="2"/>
  </r>
  <r>
    <x v="639"/>
    <x v="13"/>
    <x v="11"/>
    <n v="36.4"/>
    <x v="582"/>
    <d v="2025-01-28T00:00:00"/>
    <x v="26"/>
    <x v="2"/>
    <x v="0"/>
    <x v="2"/>
    <s v="California"/>
    <x v="3"/>
    <x v="1"/>
    <x v="4"/>
    <x v="2"/>
  </r>
  <r>
    <x v="640"/>
    <x v="0"/>
    <x v="1"/>
    <n v="22.5"/>
    <x v="583"/>
    <d v="2025-01-28T00:00:00"/>
    <x v="27"/>
    <x v="1"/>
    <x v="0"/>
    <x v="0"/>
    <s v="California"/>
    <x v="3"/>
    <x v="2"/>
    <x v="4"/>
    <x v="1"/>
  </r>
  <r>
    <x v="641"/>
    <x v="6"/>
    <x v="12"/>
    <n v="70.8"/>
    <x v="584"/>
    <d v="2025-01-28T00:00:00"/>
    <x v="26"/>
    <x v="2"/>
    <x v="4"/>
    <x v="0"/>
    <s v="California"/>
    <x v="3"/>
    <x v="1"/>
    <x v="4"/>
    <x v="2"/>
  </r>
  <r>
    <x v="642"/>
    <x v="6"/>
    <x v="9"/>
    <n v="56.6"/>
    <x v="585"/>
    <d v="2025-01-28T00:00:00"/>
    <x v="26"/>
    <x v="1"/>
    <x v="0"/>
    <x v="1"/>
    <s v="California"/>
    <x v="4"/>
    <x v="1"/>
    <x v="4"/>
    <x v="1"/>
  </r>
  <r>
    <x v="643"/>
    <x v="6"/>
    <x v="1"/>
    <n v="47.9"/>
    <x v="586"/>
    <d v="2025-01-28T00:00:00"/>
    <x v="28"/>
    <x v="2"/>
    <x v="0"/>
    <x v="0"/>
    <s v="California"/>
    <x v="6"/>
    <x v="3"/>
    <x v="4"/>
    <x v="2"/>
  </r>
  <r>
    <x v="644"/>
    <x v="6"/>
    <x v="8"/>
    <n v="78.400000000000006"/>
    <x v="587"/>
    <d v="2025-01-28T00:00:00"/>
    <x v="26"/>
    <x v="2"/>
    <x v="1"/>
    <x v="0"/>
    <s v="California"/>
    <x v="6"/>
    <x v="1"/>
    <x v="4"/>
    <x v="2"/>
  </r>
  <r>
    <x v="645"/>
    <x v="2"/>
    <x v="21"/>
    <n v="122.1"/>
    <x v="588"/>
    <d v="2025-01-28T00:00:00"/>
    <x v="33"/>
    <x v="2"/>
    <x v="0"/>
    <x v="2"/>
    <s v="California"/>
    <x v="6"/>
    <x v="0"/>
    <x v="4"/>
    <x v="2"/>
  </r>
  <r>
    <x v="646"/>
    <x v="2"/>
    <x v="1"/>
    <n v="83.7"/>
    <x v="589"/>
    <d v="2025-01-29T00:00:00"/>
    <x v="28"/>
    <x v="0"/>
    <x v="1"/>
    <x v="2"/>
    <s v="California"/>
    <x v="7"/>
    <x v="7"/>
    <x v="4"/>
    <x v="0"/>
  </r>
  <r>
    <x v="647"/>
    <x v="3"/>
    <x v="12"/>
    <n v="97.9"/>
    <x v="590"/>
    <d v="2025-01-29T00:00:00"/>
    <x v="33"/>
    <x v="2"/>
    <x v="3"/>
    <x v="2"/>
    <s v="California"/>
    <x v="7"/>
    <x v="5"/>
    <x v="4"/>
    <x v="2"/>
  </r>
  <r>
    <x v="648"/>
    <x v="14"/>
    <x v="0"/>
    <n v="15"/>
    <x v="591"/>
    <d v="2025-01-29T00:00:00"/>
    <x v="34"/>
    <x v="2"/>
    <x v="3"/>
    <x v="0"/>
    <s v="California"/>
    <x v="8"/>
    <x v="0"/>
    <x v="4"/>
    <x v="2"/>
  </r>
  <r>
    <x v="649"/>
    <x v="12"/>
    <x v="2"/>
    <n v="94.6"/>
    <x v="592"/>
    <d v="2025-01-29T00:00:00"/>
    <x v="26"/>
    <x v="1"/>
    <x v="2"/>
    <x v="1"/>
    <s v="California"/>
    <x v="8"/>
    <x v="3"/>
    <x v="4"/>
    <x v="1"/>
  </r>
  <r>
    <x v="650"/>
    <x v="0"/>
    <x v="13"/>
    <n v="19.7"/>
    <x v="593"/>
    <d v="2025-01-29T00:00:00"/>
    <x v="35"/>
    <x v="2"/>
    <x v="0"/>
    <x v="2"/>
    <s v="California"/>
    <x v="8"/>
    <x v="11"/>
    <x v="4"/>
    <x v="2"/>
  </r>
  <r>
    <x v="651"/>
    <x v="7"/>
    <x v="0"/>
    <n v="46.7"/>
    <x v="594"/>
    <d v="2025-01-29T00:00:00"/>
    <x v="30"/>
    <x v="2"/>
    <x v="2"/>
    <x v="0"/>
    <s v="California"/>
    <x v="17"/>
    <x v="2"/>
    <x v="4"/>
    <x v="2"/>
  </r>
  <r>
    <x v="652"/>
    <x v="1"/>
    <x v="12"/>
    <n v="43"/>
    <x v="595"/>
    <d v="2025-01-29T00:00:00"/>
    <x v="26"/>
    <x v="1"/>
    <x v="2"/>
    <x v="2"/>
    <s v="California"/>
    <x v="17"/>
    <x v="3"/>
    <x v="4"/>
    <x v="1"/>
  </r>
  <r>
    <x v="653"/>
    <x v="6"/>
    <x v="2"/>
    <n v="68.2"/>
    <x v="214"/>
    <d v="2025-01-29T00:00:00"/>
    <x v="32"/>
    <x v="2"/>
    <x v="0"/>
    <x v="0"/>
    <s v="California"/>
    <x v="9"/>
    <x v="4"/>
    <x v="4"/>
    <x v="2"/>
  </r>
  <r>
    <x v="654"/>
    <x v="10"/>
    <x v="7"/>
    <n v="24.3"/>
    <x v="596"/>
    <d v="2025-01-29T00:00:00"/>
    <x v="26"/>
    <x v="1"/>
    <x v="0"/>
    <x v="2"/>
    <s v="California"/>
    <x v="10"/>
    <x v="3"/>
    <x v="4"/>
    <x v="1"/>
  </r>
  <r>
    <x v="655"/>
    <x v="7"/>
    <x v="1"/>
    <n v="86.8"/>
    <x v="597"/>
    <d v="2025-01-29T00:00:00"/>
    <x v="33"/>
    <x v="2"/>
    <x v="4"/>
    <x v="2"/>
    <s v="California"/>
    <x v="11"/>
    <x v="5"/>
    <x v="4"/>
    <x v="2"/>
  </r>
  <r>
    <x v="656"/>
    <x v="0"/>
    <x v="1"/>
    <n v="15.8"/>
    <x v="35"/>
    <d v="2025-01-29T00:00:00"/>
    <x v="27"/>
    <x v="1"/>
    <x v="1"/>
    <x v="0"/>
    <s v="California"/>
    <x v="11"/>
    <x v="1"/>
    <x v="4"/>
    <x v="1"/>
  </r>
  <r>
    <x v="657"/>
    <x v="2"/>
    <x v="12"/>
    <n v="61.6"/>
    <x v="598"/>
    <d v="2025-01-29T00:00:00"/>
    <x v="26"/>
    <x v="1"/>
    <x v="2"/>
    <x v="0"/>
    <s v="California"/>
    <x v="11"/>
    <x v="3"/>
    <x v="4"/>
    <x v="1"/>
  </r>
  <r>
    <x v="658"/>
    <x v="6"/>
    <x v="2"/>
    <n v="48.7"/>
    <x v="599"/>
    <d v="2025-01-29T00:00:00"/>
    <x v="32"/>
    <x v="2"/>
    <x v="1"/>
    <x v="2"/>
    <s v="California"/>
    <x v="45"/>
    <x v="4"/>
    <x v="4"/>
    <x v="2"/>
  </r>
  <r>
    <x v="659"/>
    <x v="8"/>
    <x v="12"/>
    <n v="24.3"/>
    <x v="451"/>
    <d v="2025-01-29T00:00:00"/>
    <x v="27"/>
    <x v="2"/>
    <x v="1"/>
    <x v="2"/>
    <s v="California"/>
    <x v="21"/>
    <x v="1"/>
    <x v="4"/>
    <x v="2"/>
  </r>
  <r>
    <x v="660"/>
    <x v="2"/>
    <x v="1"/>
    <n v="130.69999999999999"/>
    <x v="600"/>
    <d v="2025-01-29T00:00:00"/>
    <x v="26"/>
    <x v="2"/>
    <x v="2"/>
    <x v="0"/>
    <s v="California"/>
    <x v="44"/>
    <x v="3"/>
    <x v="4"/>
    <x v="2"/>
  </r>
  <r>
    <x v="661"/>
    <x v="10"/>
    <x v="0"/>
    <n v="26"/>
    <x v="601"/>
    <d v="2025-01-29T00:00:00"/>
    <x v="27"/>
    <x v="1"/>
    <x v="0"/>
    <x v="0"/>
    <s v="California"/>
    <x v="3"/>
    <x v="1"/>
    <x v="4"/>
    <x v="1"/>
  </r>
  <r>
    <x v="662"/>
    <x v="2"/>
    <x v="9"/>
    <n v="94.4"/>
    <x v="602"/>
    <d v="2025-01-29T00:00:00"/>
    <x v="26"/>
    <x v="2"/>
    <x v="0"/>
    <x v="0"/>
    <s v="California"/>
    <x v="3"/>
    <x v="3"/>
    <x v="4"/>
    <x v="2"/>
  </r>
  <r>
    <x v="663"/>
    <x v="0"/>
    <x v="13"/>
    <n v="23.7"/>
    <x v="60"/>
    <d v="2025-01-29T00:00:00"/>
    <x v="27"/>
    <x v="1"/>
    <x v="2"/>
    <x v="2"/>
    <s v="California"/>
    <x v="3"/>
    <x v="1"/>
    <x v="4"/>
    <x v="1"/>
  </r>
  <r>
    <x v="664"/>
    <x v="9"/>
    <x v="4"/>
    <n v="37.4"/>
    <x v="603"/>
    <d v="2025-01-29T00:00:00"/>
    <x v="27"/>
    <x v="1"/>
    <x v="2"/>
    <x v="0"/>
    <s v="California"/>
    <x v="3"/>
    <x v="1"/>
    <x v="4"/>
    <x v="1"/>
  </r>
  <r>
    <x v="665"/>
    <x v="1"/>
    <x v="34"/>
    <n v="55.2"/>
    <x v="604"/>
    <d v="2025-01-29T00:00:00"/>
    <x v="28"/>
    <x v="2"/>
    <x v="3"/>
    <x v="1"/>
    <s v="California"/>
    <x v="3"/>
    <x v="7"/>
    <x v="4"/>
    <x v="2"/>
  </r>
  <r>
    <x v="666"/>
    <x v="2"/>
    <x v="11"/>
    <n v="57.1"/>
    <x v="605"/>
    <d v="2025-01-29T00:00:00"/>
    <x v="27"/>
    <x v="1"/>
    <x v="0"/>
    <x v="2"/>
    <s v="California"/>
    <x v="3"/>
    <x v="1"/>
    <x v="4"/>
    <x v="1"/>
  </r>
  <r>
    <x v="667"/>
    <x v="12"/>
    <x v="0"/>
    <n v="55.3"/>
    <x v="6"/>
    <d v="2025-01-29T00:00:00"/>
    <x v="26"/>
    <x v="2"/>
    <x v="2"/>
    <x v="2"/>
    <s v="California"/>
    <x v="3"/>
    <x v="3"/>
    <x v="4"/>
    <x v="2"/>
  </r>
  <r>
    <x v="668"/>
    <x v="15"/>
    <x v="3"/>
    <n v="23.9"/>
    <x v="606"/>
    <d v="2025-01-29T00:00:00"/>
    <x v="26"/>
    <x v="2"/>
    <x v="4"/>
    <x v="1"/>
    <s v="California"/>
    <x v="3"/>
    <x v="3"/>
    <x v="4"/>
    <x v="2"/>
  </r>
  <r>
    <x v="669"/>
    <x v="0"/>
    <x v="0"/>
    <n v="34.1"/>
    <x v="607"/>
    <d v="2025-01-29T00:00:00"/>
    <x v="36"/>
    <x v="2"/>
    <x v="2"/>
    <x v="0"/>
    <s v="California"/>
    <x v="3"/>
    <x v="6"/>
    <x v="4"/>
    <x v="2"/>
  </r>
  <r>
    <x v="670"/>
    <x v="12"/>
    <x v="12"/>
    <n v="38.5"/>
    <x v="608"/>
    <d v="2025-01-29T00:00:00"/>
    <x v="35"/>
    <x v="2"/>
    <x v="0"/>
    <x v="0"/>
    <s v="California"/>
    <x v="3"/>
    <x v="11"/>
    <x v="4"/>
    <x v="2"/>
  </r>
  <r>
    <x v="671"/>
    <x v="7"/>
    <x v="1"/>
    <n v="105"/>
    <x v="609"/>
    <d v="2025-01-29T00:00:00"/>
    <x v="32"/>
    <x v="2"/>
    <x v="0"/>
    <x v="2"/>
    <s v="California"/>
    <x v="3"/>
    <x v="4"/>
    <x v="4"/>
    <x v="2"/>
  </r>
  <r>
    <x v="672"/>
    <x v="8"/>
    <x v="9"/>
    <n v="45.2"/>
    <x v="326"/>
    <d v="2025-01-29T00:00:00"/>
    <x v="27"/>
    <x v="2"/>
    <x v="0"/>
    <x v="2"/>
    <s v="California"/>
    <x v="3"/>
    <x v="1"/>
    <x v="4"/>
    <x v="2"/>
  </r>
  <r>
    <x v="673"/>
    <x v="17"/>
    <x v="2"/>
    <n v="24.8"/>
    <x v="610"/>
    <d v="2025-01-29T00:00:00"/>
    <x v="28"/>
    <x v="0"/>
    <x v="0"/>
    <x v="1"/>
    <s v="California"/>
    <x v="3"/>
    <x v="7"/>
    <x v="4"/>
    <x v="0"/>
  </r>
  <r>
    <x v="674"/>
    <x v="11"/>
    <x v="12"/>
    <n v="43.8"/>
    <x v="122"/>
    <d v="2025-01-29T00:00:00"/>
    <x v="36"/>
    <x v="2"/>
    <x v="1"/>
    <x v="2"/>
    <s v="California"/>
    <x v="6"/>
    <x v="6"/>
    <x v="4"/>
    <x v="2"/>
  </r>
  <r>
    <x v="675"/>
    <x v="1"/>
    <x v="0"/>
    <n v="75"/>
    <x v="611"/>
    <d v="2025-01-29T00:00:00"/>
    <x v="27"/>
    <x v="2"/>
    <x v="4"/>
    <x v="1"/>
    <s v="California"/>
    <x v="6"/>
    <x v="1"/>
    <x v="4"/>
    <x v="2"/>
  </r>
  <r>
    <x v="676"/>
    <x v="2"/>
    <x v="0"/>
    <n v="169.9"/>
    <x v="612"/>
    <d v="2025-01-29T00:00:00"/>
    <x v="26"/>
    <x v="1"/>
    <x v="2"/>
    <x v="0"/>
    <s v="California"/>
    <x v="6"/>
    <x v="3"/>
    <x v="4"/>
    <x v="1"/>
  </r>
  <r>
    <x v="677"/>
    <x v="9"/>
    <x v="1"/>
    <n v="72.2"/>
    <x v="613"/>
    <d v="2025-01-29T00:00:00"/>
    <x v="27"/>
    <x v="2"/>
    <x v="4"/>
    <x v="1"/>
    <s v="California"/>
    <x v="6"/>
    <x v="1"/>
    <x v="4"/>
    <x v="2"/>
  </r>
  <r>
    <x v="678"/>
    <x v="0"/>
    <x v="0"/>
    <n v="20"/>
    <x v="614"/>
    <d v="2025-01-30T00:00:00"/>
    <x v="33"/>
    <x v="2"/>
    <x v="2"/>
    <x v="1"/>
    <s v="California"/>
    <x v="7"/>
    <x v="2"/>
    <x v="4"/>
    <x v="2"/>
  </r>
  <r>
    <x v="679"/>
    <x v="9"/>
    <x v="1"/>
    <n v="40.799999999999997"/>
    <x v="330"/>
    <d v="2025-01-30T00:00:00"/>
    <x v="30"/>
    <x v="2"/>
    <x v="3"/>
    <x v="2"/>
    <s v="California"/>
    <x v="8"/>
    <x v="1"/>
    <x v="4"/>
    <x v="2"/>
  </r>
  <r>
    <x v="680"/>
    <x v="10"/>
    <x v="12"/>
    <n v="58"/>
    <x v="615"/>
    <d v="2025-01-30T00:00:00"/>
    <x v="34"/>
    <x v="2"/>
    <x v="0"/>
    <x v="0"/>
    <s v="California"/>
    <x v="8"/>
    <x v="5"/>
    <x v="4"/>
    <x v="2"/>
  </r>
  <r>
    <x v="681"/>
    <x v="12"/>
    <x v="1"/>
    <n v="43.1"/>
    <x v="616"/>
    <d v="2025-01-30T00:00:00"/>
    <x v="27"/>
    <x v="2"/>
    <x v="1"/>
    <x v="2"/>
    <s v="California"/>
    <x v="8"/>
    <x v="3"/>
    <x v="4"/>
    <x v="2"/>
  </r>
  <r>
    <x v="682"/>
    <x v="6"/>
    <x v="11"/>
    <n v="74.7"/>
    <x v="617"/>
    <d v="2025-01-30T00:00:00"/>
    <x v="30"/>
    <x v="1"/>
    <x v="0"/>
    <x v="2"/>
    <s v="California"/>
    <x v="8"/>
    <x v="1"/>
    <x v="4"/>
    <x v="1"/>
  </r>
  <r>
    <x v="683"/>
    <x v="6"/>
    <x v="0"/>
    <n v="128.19999999999999"/>
    <x v="618"/>
    <d v="2025-01-30T00:00:00"/>
    <x v="26"/>
    <x v="1"/>
    <x v="1"/>
    <x v="0"/>
    <s v="California"/>
    <x v="8"/>
    <x v="7"/>
    <x v="4"/>
    <x v="1"/>
  </r>
  <r>
    <x v="684"/>
    <x v="14"/>
    <x v="12"/>
    <n v="26.7"/>
    <x v="619"/>
    <d v="2025-01-30T00:00:00"/>
    <x v="27"/>
    <x v="1"/>
    <x v="1"/>
    <x v="0"/>
    <s v="California"/>
    <x v="8"/>
    <x v="3"/>
    <x v="4"/>
    <x v="1"/>
  </r>
  <r>
    <x v="685"/>
    <x v="17"/>
    <x v="13"/>
    <n v="31.5"/>
    <x v="620"/>
    <d v="2025-01-30T00:00:00"/>
    <x v="27"/>
    <x v="2"/>
    <x v="2"/>
    <x v="0"/>
    <s v="California"/>
    <x v="17"/>
    <x v="3"/>
    <x v="4"/>
    <x v="2"/>
  </r>
  <r>
    <x v="686"/>
    <x v="3"/>
    <x v="3"/>
    <n v="64.7"/>
    <x v="621"/>
    <d v="2025-01-30T00:00:00"/>
    <x v="27"/>
    <x v="2"/>
    <x v="0"/>
    <x v="2"/>
    <s v="California"/>
    <x v="9"/>
    <x v="3"/>
    <x v="4"/>
    <x v="2"/>
  </r>
  <r>
    <x v="687"/>
    <x v="5"/>
    <x v="1"/>
    <n v="55.6"/>
    <x v="622"/>
    <d v="2025-01-30T00:00:00"/>
    <x v="33"/>
    <x v="2"/>
    <x v="3"/>
    <x v="0"/>
    <s v="California"/>
    <x v="11"/>
    <x v="2"/>
    <x v="4"/>
    <x v="2"/>
  </r>
  <r>
    <x v="688"/>
    <x v="3"/>
    <x v="1"/>
    <n v="36.200000000000003"/>
    <x v="623"/>
    <d v="2025-01-30T00:00:00"/>
    <x v="27"/>
    <x v="2"/>
    <x v="3"/>
    <x v="0"/>
    <s v="California"/>
    <x v="11"/>
    <x v="3"/>
    <x v="4"/>
    <x v="2"/>
  </r>
  <r>
    <x v="689"/>
    <x v="0"/>
    <x v="0"/>
    <n v="26.6"/>
    <x v="534"/>
    <d v="2025-01-30T00:00:00"/>
    <x v="27"/>
    <x v="0"/>
    <x v="1"/>
    <x v="1"/>
    <s v="California"/>
    <x v="19"/>
    <x v="3"/>
    <x v="4"/>
    <x v="0"/>
  </r>
  <r>
    <x v="690"/>
    <x v="10"/>
    <x v="12"/>
    <n v="31.5"/>
    <x v="624"/>
    <d v="2025-01-30T00:00:00"/>
    <x v="30"/>
    <x v="1"/>
    <x v="0"/>
    <x v="0"/>
    <s v="California"/>
    <x v="31"/>
    <x v="1"/>
    <x v="4"/>
    <x v="1"/>
  </r>
  <r>
    <x v="691"/>
    <x v="10"/>
    <x v="0"/>
    <n v="27"/>
    <x v="49"/>
    <d v="2025-01-30T00:00:00"/>
    <x v="30"/>
    <x v="2"/>
    <x v="1"/>
    <x v="2"/>
    <s v="California"/>
    <x v="13"/>
    <x v="1"/>
    <x v="4"/>
    <x v="2"/>
  </r>
  <r>
    <x v="692"/>
    <x v="4"/>
    <x v="0"/>
    <n v="32"/>
    <x v="109"/>
    <d v="2025-01-30T00:00:00"/>
    <x v="33"/>
    <x v="1"/>
    <x v="3"/>
    <x v="0"/>
    <s v="California"/>
    <x v="21"/>
    <x v="2"/>
    <x v="4"/>
    <x v="1"/>
  </r>
  <r>
    <x v="693"/>
    <x v="1"/>
    <x v="2"/>
    <n v="48.1"/>
    <x v="625"/>
    <d v="2025-01-30T00:00:00"/>
    <x v="30"/>
    <x v="1"/>
    <x v="2"/>
    <x v="1"/>
    <s v="California"/>
    <x v="1"/>
    <x v="1"/>
    <x v="4"/>
    <x v="1"/>
  </r>
  <r>
    <x v="694"/>
    <x v="9"/>
    <x v="1"/>
    <n v="43.4"/>
    <x v="626"/>
    <d v="2025-01-30T00:00:00"/>
    <x v="27"/>
    <x v="1"/>
    <x v="1"/>
    <x v="1"/>
    <s v="California"/>
    <x v="22"/>
    <x v="3"/>
    <x v="4"/>
    <x v="1"/>
  </r>
  <r>
    <x v="695"/>
    <x v="6"/>
    <x v="1"/>
    <n v="42.6"/>
    <x v="464"/>
    <d v="2025-01-30T00:00:00"/>
    <x v="33"/>
    <x v="2"/>
    <x v="3"/>
    <x v="0"/>
    <s v="California"/>
    <x v="22"/>
    <x v="2"/>
    <x v="4"/>
    <x v="2"/>
  </r>
  <r>
    <x v="696"/>
    <x v="8"/>
    <x v="1"/>
    <n v="15.9"/>
    <x v="627"/>
    <d v="2025-01-30T00:00:00"/>
    <x v="27"/>
    <x v="2"/>
    <x v="0"/>
    <x v="0"/>
    <s v="California"/>
    <x v="34"/>
    <x v="3"/>
    <x v="4"/>
    <x v="2"/>
  </r>
  <r>
    <x v="697"/>
    <x v="9"/>
    <x v="1"/>
    <n v="63.2"/>
    <x v="628"/>
    <d v="2025-01-30T00:00:00"/>
    <x v="27"/>
    <x v="1"/>
    <x v="1"/>
    <x v="0"/>
    <s v="California"/>
    <x v="3"/>
    <x v="3"/>
    <x v="4"/>
    <x v="1"/>
  </r>
  <r>
    <x v="698"/>
    <x v="7"/>
    <x v="12"/>
    <n v="64.8"/>
    <x v="629"/>
    <d v="2025-01-30T00:00:00"/>
    <x v="30"/>
    <x v="0"/>
    <x v="4"/>
    <x v="1"/>
    <s v="California"/>
    <x v="3"/>
    <x v="1"/>
    <x v="4"/>
    <x v="0"/>
  </r>
  <r>
    <x v="699"/>
    <x v="7"/>
    <x v="2"/>
    <n v="79.8"/>
    <x v="342"/>
    <d v="2025-01-30T00:00:00"/>
    <x v="27"/>
    <x v="1"/>
    <x v="0"/>
    <x v="0"/>
    <s v="California"/>
    <x v="3"/>
    <x v="3"/>
    <x v="4"/>
    <x v="1"/>
  </r>
  <r>
    <x v="700"/>
    <x v="9"/>
    <x v="0"/>
    <n v="54.4"/>
    <x v="630"/>
    <d v="2025-01-30T00:00:00"/>
    <x v="30"/>
    <x v="2"/>
    <x v="4"/>
    <x v="2"/>
    <s v="California"/>
    <x v="3"/>
    <x v="1"/>
    <x v="4"/>
    <x v="2"/>
  </r>
  <r>
    <x v="701"/>
    <x v="6"/>
    <x v="0"/>
    <n v="87.3"/>
    <x v="631"/>
    <d v="2025-01-30T00:00:00"/>
    <x v="27"/>
    <x v="1"/>
    <x v="1"/>
    <x v="0"/>
    <s v="California"/>
    <x v="3"/>
    <x v="3"/>
    <x v="4"/>
    <x v="1"/>
  </r>
  <r>
    <x v="702"/>
    <x v="8"/>
    <x v="12"/>
    <n v="32.4"/>
    <x v="632"/>
    <d v="2025-01-30T00:00:00"/>
    <x v="26"/>
    <x v="1"/>
    <x v="1"/>
    <x v="0"/>
    <s v="California"/>
    <x v="3"/>
    <x v="7"/>
    <x v="4"/>
    <x v="1"/>
  </r>
  <r>
    <x v="703"/>
    <x v="2"/>
    <x v="0"/>
    <n v="177.4"/>
    <x v="633"/>
    <d v="2025-01-30T00:00:00"/>
    <x v="34"/>
    <x v="1"/>
    <x v="0"/>
    <x v="2"/>
    <s v="California"/>
    <x v="3"/>
    <x v="5"/>
    <x v="4"/>
    <x v="1"/>
  </r>
  <r>
    <x v="704"/>
    <x v="7"/>
    <x v="1"/>
    <n v="70.099999999999994"/>
    <x v="634"/>
    <d v="2025-01-30T00:00:00"/>
    <x v="27"/>
    <x v="1"/>
    <x v="3"/>
    <x v="1"/>
    <s v="California"/>
    <x v="3"/>
    <x v="3"/>
    <x v="4"/>
    <x v="1"/>
  </r>
  <r>
    <x v="705"/>
    <x v="9"/>
    <x v="13"/>
    <n v="51.1"/>
    <x v="567"/>
    <d v="2025-01-30T00:00:00"/>
    <x v="27"/>
    <x v="2"/>
    <x v="0"/>
    <x v="0"/>
    <s v="California"/>
    <x v="3"/>
    <x v="3"/>
    <x v="4"/>
    <x v="2"/>
  </r>
  <r>
    <x v="706"/>
    <x v="2"/>
    <x v="9"/>
    <n v="79.900000000000006"/>
    <x v="635"/>
    <d v="2025-01-30T00:00:00"/>
    <x v="30"/>
    <x v="1"/>
    <x v="3"/>
    <x v="2"/>
    <s v="California"/>
    <x v="24"/>
    <x v="1"/>
    <x v="4"/>
    <x v="1"/>
  </r>
  <r>
    <x v="707"/>
    <x v="6"/>
    <x v="0"/>
    <n v="57.6"/>
    <x v="636"/>
    <d v="2025-01-31T00:00:00"/>
    <x v="36"/>
    <x v="1"/>
    <x v="0"/>
    <x v="2"/>
    <s v="California"/>
    <x v="49"/>
    <x v="0"/>
    <x v="4"/>
    <x v="1"/>
  </r>
  <r>
    <x v="708"/>
    <x v="8"/>
    <x v="7"/>
    <n v="59.7"/>
    <x v="637"/>
    <d v="2025-01-31T00:00:00"/>
    <x v="32"/>
    <x v="1"/>
    <x v="2"/>
    <x v="0"/>
    <s v="California"/>
    <x v="25"/>
    <x v="5"/>
    <x v="4"/>
    <x v="1"/>
  </r>
  <r>
    <x v="709"/>
    <x v="8"/>
    <x v="9"/>
    <n v="30"/>
    <x v="638"/>
    <d v="2025-01-31T00:00:00"/>
    <x v="33"/>
    <x v="1"/>
    <x v="1"/>
    <x v="0"/>
    <s v="California"/>
    <x v="6"/>
    <x v="1"/>
    <x v="4"/>
    <x v="1"/>
  </r>
  <r>
    <x v="710"/>
    <x v="10"/>
    <x v="1"/>
    <n v="69.2"/>
    <x v="639"/>
    <d v="2025-01-31T00:00:00"/>
    <x v="33"/>
    <x v="0"/>
    <x v="2"/>
    <x v="1"/>
    <s v="California"/>
    <x v="6"/>
    <x v="1"/>
    <x v="4"/>
    <x v="0"/>
  </r>
  <r>
    <x v="711"/>
    <x v="0"/>
    <x v="8"/>
    <n v="10.9"/>
    <x v="640"/>
    <d v="2025-01-31T00:00:00"/>
    <x v="30"/>
    <x v="2"/>
    <x v="0"/>
    <x v="2"/>
    <s v="California"/>
    <x v="6"/>
    <x v="3"/>
    <x v="4"/>
    <x v="2"/>
  </r>
  <r>
    <x v="712"/>
    <x v="16"/>
    <x v="1"/>
    <n v="48.6"/>
    <x v="451"/>
    <d v="2025-01-31T00:00:00"/>
    <x v="32"/>
    <x v="1"/>
    <x v="1"/>
    <x v="2"/>
    <s v="California"/>
    <x v="6"/>
    <x v="5"/>
    <x v="4"/>
    <x v="1"/>
  </r>
  <r>
    <x v="713"/>
    <x v="2"/>
    <x v="1"/>
    <n v="61.1"/>
    <x v="641"/>
    <d v="2025-01-31T00:00:00"/>
    <x v="34"/>
    <x v="2"/>
    <x v="1"/>
    <x v="2"/>
    <s v="California"/>
    <x v="7"/>
    <x v="2"/>
    <x v="4"/>
    <x v="2"/>
  </r>
  <r>
    <x v="714"/>
    <x v="8"/>
    <x v="1"/>
    <n v="23.2"/>
    <x v="434"/>
    <d v="2025-01-31T00:00:00"/>
    <x v="30"/>
    <x v="1"/>
    <x v="3"/>
    <x v="2"/>
    <s v="California"/>
    <x v="8"/>
    <x v="3"/>
    <x v="4"/>
    <x v="1"/>
  </r>
  <r>
    <x v="715"/>
    <x v="12"/>
    <x v="12"/>
    <n v="55.8"/>
    <x v="642"/>
    <d v="2025-01-31T00:00:00"/>
    <x v="30"/>
    <x v="1"/>
    <x v="0"/>
    <x v="0"/>
    <s v="California"/>
    <x v="8"/>
    <x v="3"/>
    <x v="4"/>
    <x v="1"/>
  </r>
  <r>
    <x v="716"/>
    <x v="9"/>
    <x v="12"/>
    <n v="24.8"/>
    <x v="643"/>
    <d v="2025-01-31T00:00:00"/>
    <x v="30"/>
    <x v="2"/>
    <x v="0"/>
    <x v="2"/>
    <s v="California"/>
    <x v="8"/>
    <x v="3"/>
    <x v="4"/>
    <x v="2"/>
  </r>
  <r>
    <x v="717"/>
    <x v="10"/>
    <x v="1"/>
    <n v="27.9"/>
    <x v="391"/>
    <d v="2025-01-31T00:00:00"/>
    <x v="27"/>
    <x v="1"/>
    <x v="2"/>
    <x v="2"/>
    <s v="California"/>
    <x v="8"/>
    <x v="7"/>
    <x v="4"/>
    <x v="1"/>
  </r>
  <r>
    <x v="718"/>
    <x v="10"/>
    <x v="13"/>
    <n v="51.1"/>
    <x v="567"/>
    <d v="2025-01-31T00:00:00"/>
    <x v="27"/>
    <x v="2"/>
    <x v="3"/>
    <x v="0"/>
    <s v="California"/>
    <x v="8"/>
    <x v="7"/>
    <x v="4"/>
    <x v="2"/>
  </r>
  <r>
    <x v="719"/>
    <x v="17"/>
    <x v="5"/>
    <n v="32.700000000000003"/>
    <x v="644"/>
    <d v="2025-01-31T00:00:00"/>
    <x v="30"/>
    <x v="1"/>
    <x v="4"/>
    <x v="2"/>
    <s v="California"/>
    <x v="17"/>
    <x v="3"/>
    <x v="4"/>
    <x v="1"/>
  </r>
  <r>
    <x v="720"/>
    <x v="8"/>
    <x v="12"/>
    <n v="22.5"/>
    <x v="645"/>
    <d v="2025-01-31T00:00:00"/>
    <x v="27"/>
    <x v="1"/>
    <x v="0"/>
    <x v="2"/>
    <s v="California"/>
    <x v="26"/>
    <x v="7"/>
    <x v="4"/>
    <x v="1"/>
  </r>
  <r>
    <x v="721"/>
    <x v="0"/>
    <x v="3"/>
    <n v="14.6"/>
    <x v="646"/>
    <d v="2025-01-31T00:00:00"/>
    <x v="30"/>
    <x v="2"/>
    <x v="2"/>
    <x v="0"/>
    <s v="California"/>
    <x v="41"/>
    <x v="3"/>
    <x v="4"/>
    <x v="2"/>
  </r>
  <r>
    <x v="722"/>
    <x v="5"/>
    <x v="2"/>
    <n v="32.5"/>
    <x v="647"/>
    <d v="2025-01-31T00:00:00"/>
    <x v="34"/>
    <x v="1"/>
    <x v="0"/>
    <x v="0"/>
    <s v="California"/>
    <x v="10"/>
    <x v="2"/>
    <x v="4"/>
    <x v="1"/>
  </r>
  <r>
    <x v="723"/>
    <x v="18"/>
    <x v="0"/>
    <n v="78.099999999999994"/>
    <x v="648"/>
    <d v="2025-01-31T00:00:00"/>
    <x v="34"/>
    <x v="1"/>
    <x v="0"/>
    <x v="2"/>
    <s v="California"/>
    <x v="11"/>
    <x v="2"/>
    <x v="4"/>
    <x v="1"/>
  </r>
  <r>
    <x v="724"/>
    <x v="12"/>
    <x v="13"/>
    <n v="110.2"/>
    <x v="649"/>
    <d v="2025-01-31T00:00:00"/>
    <x v="27"/>
    <x v="1"/>
    <x v="1"/>
    <x v="4"/>
    <s v="California"/>
    <x v="13"/>
    <x v="7"/>
    <x v="4"/>
    <x v="1"/>
  </r>
  <r>
    <x v="725"/>
    <x v="6"/>
    <x v="2"/>
    <n v="86.3"/>
    <x v="650"/>
    <d v="2025-01-31T00:00:00"/>
    <x v="33"/>
    <x v="2"/>
    <x v="3"/>
    <x v="0"/>
    <s v="California"/>
    <x v="21"/>
    <x v="1"/>
    <x v="4"/>
    <x v="2"/>
  </r>
  <r>
    <x v="726"/>
    <x v="1"/>
    <x v="13"/>
    <n v="73.599999999999994"/>
    <x v="651"/>
    <d v="2025-01-31T00:00:00"/>
    <x v="33"/>
    <x v="3"/>
    <x v="3"/>
    <x v="4"/>
    <s v="California"/>
    <x v="44"/>
    <x v="1"/>
    <x v="4"/>
    <x v="3"/>
  </r>
  <r>
    <x v="727"/>
    <x v="6"/>
    <x v="15"/>
    <n v="67.7"/>
    <x v="652"/>
    <d v="2025-01-31T00:00:00"/>
    <x v="33"/>
    <x v="2"/>
    <x v="0"/>
    <x v="2"/>
    <s v="California"/>
    <x v="3"/>
    <x v="1"/>
    <x v="4"/>
    <x v="2"/>
  </r>
  <r>
    <x v="728"/>
    <x v="7"/>
    <x v="13"/>
    <n v="142.19999999999999"/>
    <x v="653"/>
    <d v="2025-01-31T00:00:00"/>
    <x v="30"/>
    <x v="2"/>
    <x v="2"/>
    <x v="4"/>
    <s v="California"/>
    <x v="3"/>
    <x v="3"/>
    <x v="4"/>
    <x v="2"/>
  </r>
  <r>
    <x v="729"/>
    <x v="1"/>
    <x v="11"/>
    <n v="45.8"/>
    <x v="654"/>
    <d v="2025-01-31T00:00:00"/>
    <x v="33"/>
    <x v="2"/>
    <x v="1"/>
    <x v="2"/>
    <s v="California"/>
    <x v="3"/>
    <x v="1"/>
    <x v="4"/>
    <x v="2"/>
  </r>
  <r>
    <x v="730"/>
    <x v="10"/>
    <x v="1"/>
    <n v="24.2"/>
    <x v="655"/>
    <d v="2025-02-01T00:00:00"/>
    <x v="32"/>
    <x v="2"/>
    <x v="3"/>
    <x v="2"/>
    <s v="California"/>
    <x v="3"/>
    <x v="2"/>
    <x v="4"/>
    <x v="2"/>
  </r>
  <r>
    <x v="731"/>
    <x v="2"/>
    <x v="2"/>
    <n v="144.9"/>
    <x v="656"/>
    <d v="2025-02-01T00:00:00"/>
    <x v="33"/>
    <x v="3"/>
    <x v="2"/>
    <x v="2"/>
    <s v="California"/>
    <x v="3"/>
    <x v="3"/>
    <x v="4"/>
    <x v="3"/>
  </r>
  <r>
    <x v="732"/>
    <x v="11"/>
    <x v="9"/>
    <n v="32.799999999999997"/>
    <x v="657"/>
    <d v="2025-02-01T00:00:00"/>
    <x v="32"/>
    <x v="2"/>
    <x v="2"/>
    <x v="0"/>
    <s v="California"/>
    <x v="23"/>
    <x v="2"/>
    <x v="4"/>
    <x v="2"/>
  </r>
  <r>
    <x v="733"/>
    <x v="7"/>
    <x v="7"/>
    <n v="35.700000000000003"/>
    <x v="658"/>
    <d v="2025-02-01T00:00:00"/>
    <x v="30"/>
    <x v="2"/>
    <x v="0"/>
    <x v="1"/>
    <s v="California"/>
    <x v="6"/>
    <x v="7"/>
    <x v="4"/>
    <x v="2"/>
  </r>
  <r>
    <x v="734"/>
    <x v="9"/>
    <x v="1"/>
    <n v="54.6"/>
    <x v="659"/>
    <d v="2025-02-01T00:00:00"/>
    <x v="33"/>
    <x v="2"/>
    <x v="2"/>
    <x v="0"/>
    <s v="California"/>
    <x v="6"/>
    <x v="3"/>
    <x v="4"/>
    <x v="2"/>
  </r>
  <r>
    <x v="735"/>
    <x v="8"/>
    <x v="1"/>
    <n v="35.700000000000003"/>
    <x v="660"/>
    <d v="2025-02-01T00:00:00"/>
    <x v="32"/>
    <x v="0"/>
    <x v="0"/>
    <x v="1"/>
    <s v="California"/>
    <x v="6"/>
    <x v="2"/>
    <x v="4"/>
    <x v="0"/>
  </r>
  <r>
    <x v="736"/>
    <x v="10"/>
    <x v="1"/>
    <n v="52.4"/>
    <x v="661"/>
    <d v="2025-02-01T00:00:00"/>
    <x v="30"/>
    <x v="2"/>
    <x v="0"/>
    <x v="3"/>
    <s v="California"/>
    <x v="6"/>
    <x v="7"/>
    <x v="4"/>
    <x v="2"/>
  </r>
  <r>
    <x v="737"/>
    <x v="8"/>
    <x v="21"/>
    <n v="16.2"/>
    <x v="662"/>
    <d v="2025-02-01T00:00:00"/>
    <x v="33"/>
    <x v="0"/>
    <x v="0"/>
    <x v="1"/>
    <s v="California"/>
    <x v="8"/>
    <x v="3"/>
    <x v="4"/>
    <x v="0"/>
  </r>
  <r>
    <x v="738"/>
    <x v="6"/>
    <x v="35"/>
    <n v="42.8"/>
    <x v="663"/>
    <d v="2025-02-01T00:00:00"/>
    <x v="33"/>
    <x v="2"/>
    <x v="0"/>
    <x v="0"/>
    <s v="California"/>
    <x v="8"/>
    <x v="3"/>
    <x v="4"/>
    <x v="2"/>
  </r>
  <r>
    <x v="739"/>
    <x v="6"/>
    <x v="11"/>
    <n v="144.4"/>
    <x v="664"/>
    <d v="2025-02-01T00:00:00"/>
    <x v="32"/>
    <x v="2"/>
    <x v="4"/>
    <x v="0"/>
    <s v="California"/>
    <x v="8"/>
    <x v="2"/>
    <x v="4"/>
    <x v="2"/>
  </r>
  <r>
    <x v="740"/>
    <x v="3"/>
    <x v="34"/>
    <n v="30.6"/>
    <x v="665"/>
    <d v="2025-02-01T00:00:00"/>
    <x v="36"/>
    <x v="2"/>
    <x v="2"/>
    <x v="2"/>
    <s v="California"/>
    <x v="11"/>
    <x v="5"/>
    <x v="4"/>
    <x v="2"/>
  </r>
  <r>
    <x v="741"/>
    <x v="2"/>
    <x v="1"/>
    <n v="117.5"/>
    <x v="666"/>
    <d v="2025-02-01T00:00:00"/>
    <x v="33"/>
    <x v="1"/>
    <x v="0"/>
    <x v="0"/>
    <s v="California"/>
    <x v="19"/>
    <x v="3"/>
    <x v="4"/>
    <x v="1"/>
  </r>
  <r>
    <x v="742"/>
    <x v="6"/>
    <x v="1"/>
    <n v="105.7"/>
    <x v="667"/>
    <d v="2025-02-01T00:00:00"/>
    <x v="33"/>
    <x v="2"/>
    <x v="2"/>
    <x v="2"/>
    <s v="California"/>
    <x v="21"/>
    <x v="3"/>
    <x v="4"/>
    <x v="2"/>
  </r>
  <r>
    <x v="743"/>
    <x v="3"/>
    <x v="2"/>
    <n v="133.69999999999999"/>
    <x v="668"/>
    <d v="2025-02-01T00:00:00"/>
    <x v="33"/>
    <x v="0"/>
    <x v="4"/>
    <x v="2"/>
    <s v="California"/>
    <x v="21"/>
    <x v="3"/>
    <x v="4"/>
    <x v="0"/>
  </r>
  <r>
    <x v="744"/>
    <x v="4"/>
    <x v="9"/>
    <n v="46.8"/>
    <x v="540"/>
    <d v="2025-02-02T00:00:00"/>
    <x v="37"/>
    <x v="2"/>
    <x v="0"/>
    <x v="1"/>
    <s v="California"/>
    <x v="21"/>
    <x v="9"/>
    <x v="5"/>
    <x v="2"/>
  </r>
  <r>
    <x v="745"/>
    <x v="10"/>
    <x v="2"/>
    <n v="58.4"/>
    <x v="122"/>
    <d v="2025-02-02T00:00:00"/>
    <x v="32"/>
    <x v="2"/>
    <x v="0"/>
    <x v="0"/>
    <s v="California"/>
    <x v="1"/>
    <x v="1"/>
    <x v="5"/>
    <x v="2"/>
  </r>
  <r>
    <x v="746"/>
    <x v="6"/>
    <x v="11"/>
    <n v="65.099999999999994"/>
    <x v="669"/>
    <d v="2025-02-02T00:00:00"/>
    <x v="38"/>
    <x v="1"/>
    <x v="1"/>
    <x v="2"/>
    <s v="California"/>
    <x v="22"/>
    <x v="5"/>
    <x v="5"/>
    <x v="1"/>
  </r>
  <r>
    <x v="747"/>
    <x v="8"/>
    <x v="0"/>
    <n v="18.600000000000001"/>
    <x v="670"/>
    <d v="2025-02-02T00:00:00"/>
    <x v="36"/>
    <x v="2"/>
    <x v="0"/>
    <x v="4"/>
    <s v="California"/>
    <x v="22"/>
    <x v="2"/>
    <x v="5"/>
    <x v="2"/>
  </r>
  <r>
    <x v="748"/>
    <x v="1"/>
    <x v="5"/>
    <n v="92.3"/>
    <x v="671"/>
    <d v="2025-02-02T00:00:00"/>
    <x v="32"/>
    <x v="1"/>
    <x v="1"/>
    <x v="0"/>
    <s v="California"/>
    <x v="3"/>
    <x v="1"/>
    <x v="5"/>
    <x v="1"/>
  </r>
  <r>
    <x v="749"/>
    <x v="6"/>
    <x v="2"/>
    <n v="81.7"/>
    <x v="672"/>
    <d v="2025-02-02T00:00:00"/>
    <x v="34"/>
    <x v="0"/>
    <x v="4"/>
    <x v="4"/>
    <s v="California"/>
    <x v="3"/>
    <x v="3"/>
    <x v="5"/>
    <x v="0"/>
  </r>
  <r>
    <x v="750"/>
    <x v="8"/>
    <x v="1"/>
    <n v="40.9"/>
    <x v="673"/>
    <d v="2025-02-02T00:00:00"/>
    <x v="32"/>
    <x v="1"/>
    <x v="0"/>
    <x v="1"/>
    <s v="California"/>
    <x v="3"/>
    <x v="1"/>
    <x v="5"/>
    <x v="1"/>
  </r>
  <r>
    <x v="751"/>
    <x v="6"/>
    <x v="12"/>
    <n v="43.2"/>
    <x v="162"/>
    <d v="2025-02-02T00:00:00"/>
    <x v="39"/>
    <x v="2"/>
    <x v="0"/>
    <x v="1"/>
    <s v="California"/>
    <x v="3"/>
    <x v="4"/>
    <x v="5"/>
    <x v="2"/>
  </r>
  <r>
    <x v="752"/>
    <x v="8"/>
    <x v="5"/>
    <n v="25.8"/>
    <x v="674"/>
    <d v="2025-02-02T00:00:00"/>
    <x v="36"/>
    <x v="1"/>
    <x v="2"/>
    <x v="1"/>
    <s v="California"/>
    <x v="3"/>
    <x v="2"/>
    <x v="5"/>
    <x v="1"/>
  </r>
  <r>
    <x v="753"/>
    <x v="15"/>
    <x v="12"/>
    <n v="36.4"/>
    <x v="675"/>
    <d v="2025-02-02T00:00:00"/>
    <x v="34"/>
    <x v="1"/>
    <x v="0"/>
    <x v="0"/>
    <s v="California"/>
    <x v="3"/>
    <x v="3"/>
    <x v="5"/>
    <x v="1"/>
  </r>
  <r>
    <x v="754"/>
    <x v="10"/>
    <x v="0"/>
    <n v="59.1"/>
    <x v="676"/>
    <d v="2025-02-02T00:00:00"/>
    <x v="34"/>
    <x v="2"/>
    <x v="2"/>
    <x v="0"/>
    <s v="California"/>
    <x v="7"/>
    <x v="3"/>
    <x v="5"/>
    <x v="2"/>
  </r>
  <r>
    <x v="755"/>
    <x v="2"/>
    <x v="14"/>
    <n v="74.5"/>
    <x v="677"/>
    <d v="2025-02-02T00:00:00"/>
    <x v="32"/>
    <x v="1"/>
    <x v="4"/>
    <x v="0"/>
    <s v="California"/>
    <x v="18"/>
    <x v="1"/>
    <x v="5"/>
    <x v="1"/>
  </r>
  <r>
    <x v="756"/>
    <x v="5"/>
    <x v="0"/>
    <n v="72.8"/>
    <x v="236"/>
    <d v="2025-02-02T00:00:00"/>
    <x v="34"/>
    <x v="2"/>
    <x v="0"/>
    <x v="1"/>
    <s v="California"/>
    <x v="19"/>
    <x v="3"/>
    <x v="5"/>
    <x v="2"/>
  </r>
  <r>
    <x v="757"/>
    <x v="6"/>
    <x v="12"/>
    <n v="137.30000000000001"/>
    <x v="678"/>
    <d v="2025-02-02T00:00:00"/>
    <x v="36"/>
    <x v="2"/>
    <x v="0"/>
    <x v="0"/>
    <s v="California"/>
    <x v="13"/>
    <x v="2"/>
    <x v="5"/>
    <x v="2"/>
  </r>
  <r>
    <x v="758"/>
    <x v="1"/>
    <x v="2"/>
    <n v="48.7"/>
    <x v="599"/>
    <d v="2025-02-02T00:00:00"/>
    <x v="31"/>
    <x v="2"/>
    <x v="0"/>
    <x v="1"/>
    <s v="California"/>
    <x v="21"/>
    <x v="0"/>
    <x v="5"/>
    <x v="2"/>
  </r>
  <r>
    <x v="759"/>
    <x v="6"/>
    <x v="12"/>
    <n v="53.7"/>
    <x v="679"/>
    <d v="2025-02-02T00:00:00"/>
    <x v="38"/>
    <x v="1"/>
    <x v="1"/>
    <x v="4"/>
    <s v="California"/>
    <x v="2"/>
    <x v="5"/>
    <x v="5"/>
    <x v="1"/>
  </r>
  <r>
    <x v="760"/>
    <x v="2"/>
    <x v="3"/>
    <n v="100.9"/>
    <x v="680"/>
    <d v="2025-02-02T00:00:00"/>
    <x v="32"/>
    <x v="2"/>
    <x v="0"/>
    <x v="1"/>
    <s v="California"/>
    <x v="2"/>
    <x v="1"/>
    <x v="5"/>
    <x v="2"/>
  </r>
  <r>
    <x v="761"/>
    <x v="10"/>
    <x v="1"/>
    <n v="41.8"/>
    <x v="681"/>
    <d v="2025-02-02T00:00:00"/>
    <x v="38"/>
    <x v="1"/>
    <x v="3"/>
    <x v="2"/>
    <s v="California"/>
    <x v="22"/>
    <x v="5"/>
    <x v="5"/>
    <x v="1"/>
  </r>
  <r>
    <x v="762"/>
    <x v="4"/>
    <x v="8"/>
    <n v="28.5"/>
    <x v="416"/>
    <d v="2025-02-02T00:00:00"/>
    <x v="32"/>
    <x v="1"/>
    <x v="2"/>
    <x v="1"/>
    <s v="California"/>
    <x v="3"/>
    <x v="1"/>
    <x v="5"/>
    <x v="1"/>
  </r>
  <r>
    <x v="763"/>
    <x v="7"/>
    <x v="12"/>
    <n v="88.9"/>
    <x v="682"/>
    <d v="2025-02-02T00:00:00"/>
    <x v="36"/>
    <x v="2"/>
    <x v="0"/>
    <x v="2"/>
    <s v="California"/>
    <x v="3"/>
    <x v="2"/>
    <x v="5"/>
    <x v="2"/>
  </r>
  <r>
    <x v="764"/>
    <x v="6"/>
    <x v="0"/>
    <n v="62.5"/>
    <x v="683"/>
    <d v="2025-02-02T00:00:00"/>
    <x v="40"/>
    <x v="2"/>
    <x v="0"/>
    <x v="2"/>
    <s v="California"/>
    <x v="3"/>
    <x v="8"/>
    <x v="5"/>
    <x v="2"/>
  </r>
  <r>
    <x v="765"/>
    <x v="1"/>
    <x v="2"/>
    <n v="46.9"/>
    <x v="684"/>
    <d v="2025-02-02T00:00:00"/>
    <x v="34"/>
    <x v="1"/>
    <x v="0"/>
    <x v="2"/>
    <s v="California"/>
    <x v="3"/>
    <x v="3"/>
    <x v="5"/>
    <x v="1"/>
  </r>
  <r>
    <x v="766"/>
    <x v="8"/>
    <x v="2"/>
    <n v="45"/>
    <x v="340"/>
    <d v="2025-02-02T00:00:00"/>
    <x v="41"/>
    <x v="1"/>
    <x v="1"/>
    <x v="0"/>
    <s v="California"/>
    <x v="3"/>
    <x v="12"/>
    <x v="5"/>
    <x v="1"/>
  </r>
  <r>
    <x v="767"/>
    <x v="6"/>
    <x v="2"/>
    <n v="45.2"/>
    <x v="685"/>
    <d v="2025-02-02T00:00:00"/>
    <x v="32"/>
    <x v="1"/>
    <x v="4"/>
    <x v="2"/>
    <s v="California"/>
    <x v="3"/>
    <x v="1"/>
    <x v="5"/>
    <x v="1"/>
  </r>
  <r>
    <x v="768"/>
    <x v="4"/>
    <x v="1"/>
    <n v="60.1"/>
    <x v="493"/>
    <d v="2025-02-02T00:00:00"/>
    <x v="34"/>
    <x v="2"/>
    <x v="0"/>
    <x v="2"/>
    <s v="California"/>
    <x v="3"/>
    <x v="3"/>
    <x v="5"/>
    <x v="2"/>
  </r>
  <r>
    <x v="769"/>
    <x v="12"/>
    <x v="12"/>
    <n v="118.7"/>
    <x v="686"/>
    <d v="2025-02-02T00:00:00"/>
    <x v="32"/>
    <x v="2"/>
    <x v="0"/>
    <x v="0"/>
    <s v="California"/>
    <x v="3"/>
    <x v="1"/>
    <x v="5"/>
    <x v="2"/>
  </r>
  <r>
    <x v="770"/>
    <x v="9"/>
    <x v="0"/>
    <n v="57.8"/>
    <x v="687"/>
    <d v="2025-02-02T00:00:00"/>
    <x v="40"/>
    <x v="2"/>
    <x v="1"/>
    <x v="0"/>
    <s v="California"/>
    <x v="3"/>
    <x v="8"/>
    <x v="5"/>
    <x v="2"/>
  </r>
  <r>
    <x v="771"/>
    <x v="4"/>
    <x v="0"/>
    <n v="19.5"/>
    <x v="688"/>
    <d v="2025-02-02T00:00:00"/>
    <x v="34"/>
    <x v="1"/>
    <x v="1"/>
    <x v="1"/>
    <s v="California"/>
    <x v="3"/>
    <x v="3"/>
    <x v="5"/>
    <x v="1"/>
  </r>
  <r>
    <x v="772"/>
    <x v="12"/>
    <x v="0"/>
    <n v="42.6"/>
    <x v="440"/>
    <d v="2025-02-02T00:00:00"/>
    <x v="34"/>
    <x v="1"/>
    <x v="0"/>
    <x v="1"/>
    <s v="California"/>
    <x v="3"/>
    <x v="3"/>
    <x v="5"/>
    <x v="1"/>
  </r>
  <r>
    <x v="773"/>
    <x v="6"/>
    <x v="1"/>
    <n v="74.8"/>
    <x v="689"/>
    <d v="2025-02-02T00:00:00"/>
    <x v="34"/>
    <x v="2"/>
    <x v="3"/>
    <x v="2"/>
    <s v="California"/>
    <x v="37"/>
    <x v="3"/>
    <x v="5"/>
    <x v="2"/>
  </r>
  <r>
    <x v="774"/>
    <x v="8"/>
    <x v="2"/>
    <n v="32.5"/>
    <x v="647"/>
    <d v="2025-02-02T00:00:00"/>
    <x v="34"/>
    <x v="1"/>
    <x v="2"/>
    <x v="4"/>
    <s v="California"/>
    <x v="16"/>
    <x v="3"/>
    <x v="5"/>
    <x v="1"/>
  </r>
  <r>
    <x v="775"/>
    <x v="2"/>
    <x v="2"/>
    <n v="60.5"/>
    <x v="690"/>
    <d v="2025-02-02T00:00:00"/>
    <x v="33"/>
    <x v="2"/>
    <x v="1"/>
    <x v="2"/>
    <s v="California"/>
    <x v="25"/>
    <x v="7"/>
    <x v="5"/>
    <x v="2"/>
  </r>
  <r>
    <x v="776"/>
    <x v="1"/>
    <x v="3"/>
    <n v="57.2"/>
    <x v="691"/>
    <d v="2025-02-02T00:00:00"/>
    <x v="32"/>
    <x v="0"/>
    <x v="2"/>
    <x v="0"/>
    <s v="California"/>
    <x v="25"/>
    <x v="1"/>
    <x v="5"/>
    <x v="0"/>
  </r>
  <r>
    <x v="777"/>
    <x v="16"/>
    <x v="1"/>
    <n v="112"/>
    <x v="692"/>
    <d v="2025-02-02T00:00:00"/>
    <x v="34"/>
    <x v="2"/>
    <x v="1"/>
    <x v="1"/>
    <s v="California"/>
    <x v="5"/>
    <x v="3"/>
    <x v="5"/>
    <x v="2"/>
  </r>
  <r>
    <x v="778"/>
    <x v="7"/>
    <x v="7"/>
    <n v="49"/>
    <x v="157"/>
    <d v="2025-02-02T00:00:00"/>
    <x v="34"/>
    <x v="3"/>
    <x v="2"/>
    <x v="1"/>
    <s v="California"/>
    <x v="6"/>
    <x v="3"/>
    <x v="5"/>
    <x v="3"/>
  </r>
  <r>
    <x v="779"/>
    <x v="0"/>
    <x v="1"/>
    <n v="33.700000000000003"/>
    <x v="693"/>
    <d v="2025-02-02T00:00:00"/>
    <x v="38"/>
    <x v="2"/>
    <x v="3"/>
    <x v="0"/>
    <s v="California"/>
    <x v="6"/>
    <x v="5"/>
    <x v="5"/>
    <x v="2"/>
  </r>
  <r>
    <x v="780"/>
    <x v="4"/>
    <x v="2"/>
    <n v="35.6"/>
    <x v="694"/>
    <d v="2025-02-02T00:00:00"/>
    <x v="36"/>
    <x v="2"/>
    <x v="0"/>
    <x v="2"/>
    <s v="California"/>
    <x v="6"/>
    <x v="2"/>
    <x v="5"/>
    <x v="2"/>
  </r>
  <r>
    <x v="781"/>
    <x v="4"/>
    <x v="36"/>
    <n v="30.4"/>
    <x v="695"/>
    <d v="2025-02-03T00:00:00"/>
    <x v="34"/>
    <x v="2"/>
    <x v="0"/>
    <x v="1"/>
    <s v="California"/>
    <x v="7"/>
    <x v="7"/>
    <x v="5"/>
    <x v="2"/>
  </r>
  <r>
    <x v="782"/>
    <x v="10"/>
    <x v="4"/>
    <n v="50.2"/>
    <x v="696"/>
    <d v="2025-02-03T00:00:00"/>
    <x v="32"/>
    <x v="1"/>
    <x v="4"/>
    <x v="0"/>
    <s v="California"/>
    <x v="8"/>
    <x v="3"/>
    <x v="5"/>
    <x v="1"/>
  </r>
  <r>
    <x v="783"/>
    <x v="1"/>
    <x v="1"/>
    <n v="43.7"/>
    <x v="697"/>
    <d v="2025-02-03T00:00:00"/>
    <x v="36"/>
    <x v="2"/>
    <x v="0"/>
    <x v="0"/>
    <s v="California"/>
    <x v="8"/>
    <x v="1"/>
    <x v="5"/>
    <x v="2"/>
  </r>
  <r>
    <x v="784"/>
    <x v="10"/>
    <x v="0"/>
    <n v="33.299999999999997"/>
    <x v="698"/>
    <d v="2025-02-03T00:00:00"/>
    <x v="32"/>
    <x v="2"/>
    <x v="2"/>
    <x v="1"/>
    <s v="California"/>
    <x v="8"/>
    <x v="3"/>
    <x v="5"/>
    <x v="2"/>
  </r>
  <r>
    <x v="785"/>
    <x v="8"/>
    <x v="12"/>
    <n v="15.1"/>
    <x v="266"/>
    <d v="2025-02-03T00:00:00"/>
    <x v="36"/>
    <x v="2"/>
    <x v="4"/>
    <x v="2"/>
    <s v="California"/>
    <x v="8"/>
    <x v="1"/>
    <x v="5"/>
    <x v="2"/>
  </r>
  <r>
    <x v="786"/>
    <x v="6"/>
    <x v="9"/>
    <n v="118.2"/>
    <x v="699"/>
    <d v="2025-02-03T00:00:00"/>
    <x v="32"/>
    <x v="2"/>
    <x v="3"/>
    <x v="4"/>
    <s v="California"/>
    <x v="8"/>
    <x v="3"/>
    <x v="5"/>
    <x v="2"/>
  </r>
  <r>
    <x v="787"/>
    <x v="10"/>
    <x v="2"/>
    <n v="28.9"/>
    <x v="700"/>
    <d v="2025-02-03T00:00:00"/>
    <x v="36"/>
    <x v="2"/>
    <x v="2"/>
    <x v="1"/>
    <s v="California"/>
    <x v="8"/>
    <x v="1"/>
    <x v="5"/>
    <x v="2"/>
  </r>
  <r>
    <x v="788"/>
    <x v="4"/>
    <x v="2"/>
    <n v="55.6"/>
    <x v="701"/>
    <d v="2025-02-03T00:00:00"/>
    <x v="32"/>
    <x v="1"/>
    <x v="0"/>
    <x v="1"/>
    <s v="California"/>
    <x v="8"/>
    <x v="3"/>
    <x v="5"/>
    <x v="1"/>
  </r>
  <r>
    <x v="789"/>
    <x v="9"/>
    <x v="12"/>
    <n v="25.6"/>
    <x v="298"/>
    <d v="2025-02-03T00:00:00"/>
    <x v="36"/>
    <x v="2"/>
    <x v="0"/>
    <x v="1"/>
    <s v="California"/>
    <x v="8"/>
    <x v="1"/>
    <x v="5"/>
    <x v="2"/>
  </r>
  <r>
    <x v="790"/>
    <x v="7"/>
    <x v="2"/>
    <n v="31.3"/>
    <x v="442"/>
    <d v="2025-02-03T00:00:00"/>
    <x v="32"/>
    <x v="1"/>
    <x v="0"/>
    <x v="0"/>
    <s v="California"/>
    <x v="17"/>
    <x v="3"/>
    <x v="5"/>
    <x v="1"/>
  </r>
  <r>
    <x v="791"/>
    <x v="0"/>
    <x v="2"/>
    <n v="22.1"/>
    <x v="702"/>
    <d v="2025-02-03T00:00:00"/>
    <x v="31"/>
    <x v="1"/>
    <x v="0"/>
    <x v="0"/>
    <s v="California"/>
    <x v="17"/>
    <x v="5"/>
    <x v="5"/>
    <x v="1"/>
  </r>
  <r>
    <x v="792"/>
    <x v="2"/>
    <x v="21"/>
    <n v="99.4"/>
    <x v="703"/>
    <d v="2025-02-03T00:00:00"/>
    <x v="32"/>
    <x v="1"/>
    <x v="1"/>
    <x v="0"/>
    <s v="California"/>
    <x v="11"/>
    <x v="3"/>
    <x v="5"/>
    <x v="1"/>
  </r>
  <r>
    <x v="793"/>
    <x v="7"/>
    <x v="13"/>
    <n v="66.599999999999994"/>
    <x v="704"/>
    <d v="2025-02-03T00:00:00"/>
    <x v="32"/>
    <x v="2"/>
    <x v="0"/>
    <x v="0"/>
    <s v="California"/>
    <x v="11"/>
    <x v="3"/>
    <x v="5"/>
    <x v="2"/>
  </r>
  <r>
    <x v="794"/>
    <x v="8"/>
    <x v="1"/>
    <n v="22.6"/>
    <x v="705"/>
    <d v="2025-02-03T00:00:00"/>
    <x v="38"/>
    <x v="1"/>
    <x v="0"/>
    <x v="0"/>
    <s v="California"/>
    <x v="11"/>
    <x v="2"/>
    <x v="5"/>
    <x v="1"/>
  </r>
  <r>
    <x v="795"/>
    <x v="2"/>
    <x v="16"/>
    <n v="66.8"/>
    <x v="706"/>
    <d v="2025-02-03T00:00:00"/>
    <x v="32"/>
    <x v="2"/>
    <x v="0"/>
    <x v="4"/>
    <s v="California"/>
    <x v="13"/>
    <x v="3"/>
    <x v="5"/>
    <x v="2"/>
  </r>
  <r>
    <x v="796"/>
    <x v="0"/>
    <x v="12"/>
    <n v="20.8"/>
    <x v="707"/>
    <d v="2025-02-03T00:00:00"/>
    <x v="37"/>
    <x v="1"/>
    <x v="1"/>
    <x v="4"/>
    <s v="California"/>
    <x v="1"/>
    <x v="6"/>
    <x v="5"/>
    <x v="1"/>
  </r>
  <r>
    <x v="797"/>
    <x v="2"/>
    <x v="3"/>
    <n v="102.5"/>
    <x v="708"/>
    <d v="2025-02-03T00:00:00"/>
    <x v="32"/>
    <x v="2"/>
    <x v="4"/>
    <x v="2"/>
    <s v="California"/>
    <x v="3"/>
    <x v="3"/>
    <x v="5"/>
    <x v="2"/>
  </r>
  <r>
    <x v="798"/>
    <x v="0"/>
    <x v="16"/>
    <n v="24.8"/>
    <x v="709"/>
    <d v="2025-02-03T00:00:00"/>
    <x v="31"/>
    <x v="2"/>
    <x v="0"/>
    <x v="0"/>
    <s v="California"/>
    <x v="3"/>
    <x v="5"/>
    <x v="5"/>
    <x v="2"/>
  </r>
  <r>
    <x v="799"/>
    <x v="4"/>
    <x v="37"/>
    <n v="31.4"/>
    <x v="710"/>
    <d v="2025-02-03T00:00:00"/>
    <x v="32"/>
    <x v="2"/>
    <x v="3"/>
    <x v="0"/>
    <s v="California"/>
    <x v="3"/>
    <x v="3"/>
    <x v="5"/>
    <x v="2"/>
  </r>
  <r>
    <x v="800"/>
    <x v="9"/>
    <x v="9"/>
    <n v="59.3"/>
    <x v="711"/>
    <d v="2025-02-03T00:00:00"/>
    <x v="38"/>
    <x v="1"/>
    <x v="1"/>
    <x v="2"/>
    <s v="California"/>
    <x v="43"/>
    <x v="2"/>
    <x v="5"/>
    <x v="1"/>
  </r>
  <r>
    <x v="801"/>
    <x v="11"/>
    <x v="13"/>
    <n v="39"/>
    <x v="540"/>
    <d v="2025-02-03T00:00:00"/>
    <x v="38"/>
    <x v="1"/>
    <x v="1"/>
    <x v="0"/>
    <s v="California"/>
    <x v="6"/>
    <x v="2"/>
    <x v="5"/>
    <x v="1"/>
  </r>
  <r>
    <x v="802"/>
    <x v="5"/>
    <x v="13"/>
    <n v="98.6"/>
    <x v="712"/>
    <d v="2025-02-03T00:00:00"/>
    <x v="36"/>
    <x v="2"/>
    <x v="1"/>
    <x v="0"/>
    <s v="California"/>
    <x v="6"/>
    <x v="1"/>
    <x v="5"/>
    <x v="2"/>
  </r>
  <r>
    <x v="803"/>
    <x v="8"/>
    <x v="0"/>
    <n v="20"/>
    <x v="614"/>
    <d v="2025-02-04T00:00:00"/>
    <x v="36"/>
    <x v="1"/>
    <x v="3"/>
    <x v="2"/>
    <s v="California"/>
    <x v="8"/>
    <x v="3"/>
    <x v="5"/>
    <x v="1"/>
  </r>
  <r>
    <x v="804"/>
    <x v="1"/>
    <x v="1"/>
    <n v="42.9"/>
    <x v="550"/>
    <d v="2025-02-04T00:00:00"/>
    <x v="38"/>
    <x v="2"/>
    <x v="0"/>
    <x v="2"/>
    <s v="California"/>
    <x v="8"/>
    <x v="1"/>
    <x v="5"/>
    <x v="2"/>
  </r>
  <r>
    <x v="805"/>
    <x v="7"/>
    <x v="3"/>
    <n v="55.6"/>
    <x v="713"/>
    <d v="2025-02-04T00:00:00"/>
    <x v="38"/>
    <x v="2"/>
    <x v="2"/>
    <x v="1"/>
    <s v="California"/>
    <x v="8"/>
    <x v="1"/>
    <x v="5"/>
    <x v="2"/>
  </r>
  <r>
    <x v="806"/>
    <x v="8"/>
    <x v="12"/>
    <n v="19.2"/>
    <x v="714"/>
    <d v="2025-02-04T00:00:00"/>
    <x v="35"/>
    <x v="2"/>
    <x v="0"/>
    <x v="0"/>
    <s v="California"/>
    <x v="41"/>
    <x v="0"/>
    <x v="5"/>
    <x v="2"/>
  </r>
  <r>
    <x v="807"/>
    <x v="5"/>
    <x v="1"/>
    <n v="28.8"/>
    <x v="636"/>
    <d v="2025-02-04T00:00:00"/>
    <x v="38"/>
    <x v="1"/>
    <x v="1"/>
    <x v="0"/>
    <s v="California"/>
    <x v="18"/>
    <x v="1"/>
    <x v="5"/>
    <x v="1"/>
  </r>
  <r>
    <x v="808"/>
    <x v="4"/>
    <x v="0"/>
    <n v="29.7"/>
    <x v="47"/>
    <d v="2025-02-04T00:00:00"/>
    <x v="38"/>
    <x v="2"/>
    <x v="2"/>
    <x v="4"/>
    <s v="California"/>
    <x v="20"/>
    <x v="1"/>
    <x v="5"/>
    <x v="2"/>
  </r>
  <r>
    <x v="809"/>
    <x v="6"/>
    <x v="13"/>
    <n v="63.3"/>
    <x v="715"/>
    <d v="2025-02-04T00:00:00"/>
    <x v="36"/>
    <x v="0"/>
    <x v="0"/>
    <x v="2"/>
    <s v="California"/>
    <x v="21"/>
    <x v="3"/>
    <x v="5"/>
    <x v="0"/>
  </r>
  <r>
    <x v="810"/>
    <x v="4"/>
    <x v="0"/>
    <n v="46"/>
    <x v="716"/>
    <d v="2025-02-04T00:00:00"/>
    <x v="36"/>
    <x v="2"/>
    <x v="0"/>
    <x v="2"/>
    <s v="California"/>
    <x v="21"/>
    <x v="3"/>
    <x v="5"/>
    <x v="2"/>
  </r>
  <r>
    <x v="811"/>
    <x v="11"/>
    <x v="2"/>
    <n v="38"/>
    <x v="717"/>
    <d v="2025-02-04T00:00:00"/>
    <x v="38"/>
    <x v="2"/>
    <x v="1"/>
    <x v="2"/>
    <s v="California"/>
    <x v="21"/>
    <x v="1"/>
    <x v="5"/>
    <x v="2"/>
  </r>
  <r>
    <x v="812"/>
    <x v="10"/>
    <x v="15"/>
    <n v="34.6"/>
    <x v="327"/>
    <d v="2025-02-04T00:00:00"/>
    <x v="38"/>
    <x v="2"/>
    <x v="0"/>
    <x v="1"/>
    <s v="California"/>
    <x v="21"/>
    <x v="1"/>
    <x v="5"/>
    <x v="2"/>
  </r>
  <r>
    <x v="813"/>
    <x v="3"/>
    <x v="7"/>
    <n v="79.7"/>
    <x v="718"/>
    <d v="2025-02-04T00:00:00"/>
    <x v="36"/>
    <x v="2"/>
    <x v="4"/>
    <x v="1"/>
    <s v="California"/>
    <x v="21"/>
    <x v="3"/>
    <x v="5"/>
    <x v="2"/>
  </r>
  <r>
    <x v="814"/>
    <x v="8"/>
    <x v="8"/>
    <n v="30.5"/>
    <x v="719"/>
    <d v="2025-02-04T00:00:00"/>
    <x v="39"/>
    <x v="1"/>
    <x v="3"/>
    <x v="0"/>
    <s v="California"/>
    <x v="1"/>
    <x v="5"/>
    <x v="5"/>
    <x v="1"/>
  </r>
  <r>
    <x v="815"/>
    <x v="0"/>
    <x v="1"/>
    <n v="20.8"/>
    <x v="480"/>
    <d v="2025-02-04T00:00:00"/>
    <x v="36"/>
    <x v="2"/>
    <x v="0"/>
    <x v="0"/>
    <s v="California"/>
    <x v="2"/>
    <x v="3"/>
    <x v="5"/>
    <x v="2"/>
  </r>
  <r>
    <x v="816"/>
    <x v="11"/>
    <x v="3"/>
    <n v="48.5"/>
    <x v="720"/>
    <d v="2025-02-04T00:00:00"/>
    <x v="39"/>
    <x v="2"/>
    <x v="2"/>
    <x v="2"/>
    <s v="California"/>
    <x v="2"/>
    <x v="5"/>
    <x v="5"/>
    <x v="2"/>
  </r>
  <r>
    <x v="817"/>
    <x v="2"/>
    <x v="12"/>
    <n v="61.8"/>
    <x v="721"/>
    <d v="2025-02-04T00:00:00"/>
    <x v="39"/>
    <x v="2"/>
    <x v="4"/>
    <x v="0"/>
    <s v="California"/>
    <x v="22"/>
    <x v="5"/>
    <x v="5"/>
    <x v="2"/>
  </r>
  <r>
    <x v="818"/>
    <x v="10"/>
    <x v="0"/>
    <n v="46.1"/>
    <x v="722"/>
    <d v="2025-02-04T00:00:00"/>
    <x v="36"/>
    <x v="3"/>
    <x v="2"/>
    <x v="0"/>
    <s v="California"/>
    <x v="3"/>
    <x v="3"/>
    <x v="5"/>
    <x v="3"/>
  </r>
  <r>
    <x v="819"/>
    <x v="4"/>
    <x v="13"/>
    <n v="44"/>
    <x v="723"/>
    <d v="2025-02-04T00:00:00"/>
    <x v="36"/>
    <x v="2"/>
    <x v="0"/>
    <x v="0"/>
    <s v="California"/>
    <x v="3"/>
    <x v="3"/>
    <x v="5"/>
    <x v="2"/>
  </r>
  <r>
    <x v="820"/>
    <x v="18"/>
    <x v="1"/>
    <n v="95.7"/>
    <x v="724"/>
    <d v="2025-02-04T00:00:00"/>
    <x v="37"/>
    <x v="2"/>
    <x v="3"/>
    <x v="2"/>
    <s v="California"/>
    <x v="3"/>
    <x v="4"/>
    <x v="5"/>
    <x v="2"/>
  </r>
  <r>
    <x v="821"/>
    <x v="7"/>
    <x v="9"/>
    <n v="46.4"/>
    <x v="615"/>
    <d v="2025-02-04T00:00:00"/>
    <x v="31"/>
    <x v="2"/>
    <x v="0"/>
    <x v="0"/>
    <s v="California"/>
    <x v="3"/>
    <x v="2"/>
    <x v="5"/>
    <x v="2"/>
  </r>
  <r>
    <x v="822"/>
    <x v="6"/>
    <x v="1"/>
    <n v="47.2"/>
    <x v="725"/>
    <d v="2025-02-04T00:00:00"/>
    <x v="38"/>
    <x v="2"/>
    <x v="0"/>
    <x v="2"/>
    <s v="California"/>
    <x v="3"/>
    <x v="1"/>
    <x v="5"/>
    <x v="2"/>
  </r>
  <r>
    <x v="823"/>
    <x v="7"/>
    <x v="1"/>
    <n v="58.6"/>
    <x v="726"/>
    <d v="2025-02-04T00:00:00"/>
    <x v="36"/>
    <x v="2"/>
    <x v="2"/>
    <x v="1"/>
    <s v="California"/>
    <x v="3"/>
    <x v="3"/>
    <x v="5"/>
    <x v="2"/>
  </r>
  <r>
    <x v="824"/>
    <x v="4"/>
    <x v="2"/>
    <n v="57"/>
    <x v="727"/>
    <d v="2025-02-04T00:00:00"/>
    <x v="36"/>
    <x v="1"/>
    <x v="0"/>
    <x v="2"/>
    <s v="California"/>
    <x v="3"/>
    <x v="3"/>
    <x v="5"/>
    <x v="1"/>
  </r>
  <r>
    <x v="825"/>
    <x v="8"/>
    <x v="12"/>
    <n v="28.9"/>
    <x v="446"/>
    <d v="2025-02-04T00:00:00"/>
    <x v="39"/>
    <x v="1"/>
    <x v="2"/>
    <x v="0"/>
    <s v="California"/>
    <x v="3"/>
    <x v="5"/>
    <x v="5"/>
    <x v="1"/>
  </r>
  <r>
    <x v="826"/>
    <x v="12"/>
    <x v="9"/>
    <n v="60.7"/>
    <x v="728"/>
    <d v="2025-02-04T00:00:00"/>
    <x v="39"/>
    <x v="0"/>
    <x v="1"/>
    <x v="1"/>
    <s v="California"/>
    <x v="3"/>
    <x v="5"/>
    <x v="5"/>
    <x v="0"/>
  </r>
  <r>
    <x v="827"/>
    <x v="6"/>
    <x v="9"/>
    <n v="60.8"/>
    <x v="729"/>
    <d v="2025-02-04T00:00:00"/>
    <x v="39"/>
    <x v="1"/>
    <x v="0"/>
    <x v="1"/>
    <s v="California"/>
    <x v="3"/>
    <x v="5"/>
    <x v="5"/>
    <x v="1"/>
  </r>
  <r>
    <x v="828"/>
    <x v="6"/>
    <x v="9"/>
    <n v="64.599999999999994"/>
    <x v="730"/>
    <d v="2025-02-04T00:00:00"/>
    <x v="36"/>
    <x v="2"/>
    <x v="3"/>
    <x v="0"/>
    <s v="California"/>
    <x v="3"/>
    <x v="3"/>
    <x v="5"/>
    <x v="2"/>
  </r>
  <r>
    <x v="829"/>
    <x v="8"/>
    <x v="0"/>
    <n v="21.9"/>
    <x v="731"/>
    <d v="2025-02-04T00:00:00"/>
    <x v="31"/>
    <x v="1"/>
    <x v="1"/>
    <x v="2"/>
    <s v="California"/>
    <x v="4"/>
    <x v="2"/>
    <x v="5"/>
    <x v="1"/>
  </r>
  <r>
    <x v="830"/>
    <x v="4"/>
    <x v="4"/>
    <n v="33.4"/>
    <x v="732"/>
    <d v="2025-02-04T00:00:00"/>
    <x v="38"/>
    <x v="2"/>
    <x v="0"/>
    <x v="0"/>
    <s v="California"/>
    <x v="23"/>
    <x v="1"/>
    <x v="5"/>
    <x v="2"/>
  </r>
  <r>
    <x v="831"/>
    <x v="2"/>
    <x v="0"/>
    <n v="51.7"/>
    <x v="733"/>
    <d v="2025-02-04T00:00:00"/>
    <x v="36"/>
    <x v="0"/>
    <x v="0"/>
    <x v="0"/>
    <s v="California"/>
    <x v="6"/>
    <x v="3"/>
    <x v="5"/>
    <x v="0"/>
  </r>
  <r>
    <x v="832"/>
    <x v="1"/>
    <x v="12"/>
    <n v="84.9"/>
    <x v="734"/>
    <d v="2025-02-04T00:00:00"/>
    <x v="36"/>
    <x v="2"/>
    <x v="1"/>
    <x v="1"/>
    <s v="California"/>
    <x v="6"/>
    <x v="3"/>
    <x v="5"/>
    <x v="2"/>
  </r>
  <r>
    <x v="833"/>
    <x v="1"/>
    <x v="5"/>
    <n v="62.3"/>
    <x v="735"/>
    <d v="2025-02-04T00:00:00"/>
    <x v="36"/>
    <x v="2"/>
    <x v="2"/>
    <x v="2"/>
    <s v="California"/>
    <x v="7"/>
    <x v="3"/>
    <x v="5"/>
    <x v="2"/>
  </r>
  <r>
    <x v="834"/>
    <x v="4"/>
    <x v="0"/>
    <n v="50.7"/>
    <x v="163"/>
    <d v="2025-02-04T00:00:00"/>
    <x v="38"/>
    <x v="1"/>
    <x v="2"/>
    <x v="2"/>
    <s v="California"/>
    <x v="8"/>
    <x v="1"/>
    <x v="5"/>
    <x v="1"/>
  </r>
  <r>
    <x v="835"/>
    <x v="18"/>
    <x v="0"/>
    <n v="39.5"/>
    <x v="736"/>
    <d v="2025-02-04T00:00:00"/>
    <x v="36"/>
    <x v="1"/>
    <x v="4"/>
    <x v="1"/>
    <s v="California"/>
    <x v="8"/>
    <x v="3"/>
    <x v="5"/>
    <x v="1"/>
  </r>
  <r>
    <x v="836"/>
    <x v="12"/>
    <x v="2"/>
    <n v="30.9"/>
    <x v="737"/>
    <d v="2025-02-04T00:00:00"/>
    <x v="36"/>
    <x v="0"/>
    <x v="4"/>
    <x v="2"/>
    <s v="California"/>
    <x v="8"/>
    <x v="3"/>
    <x v="5"/>
    <x v="0"/>
  </r>
  <r>
    <x v="837"/>
    <x v="1"/>
    <x v="3"/>
    <n v="36.4"/>
    <x v="133"/>
    <d v="2025-02-04T00:00:00"/>
    <x v="31"/>
    <x v="2"/>
    <x v="0"/>
    <x v="2"/>
    <s v="California"/>
    <x v="8"/>
    <x v="2"/>
    <x v="5"/>
    <x v="2"/>
  </r>
  <r>
    <x v="838"/>
    <x v="6"/>
    <x v="8"/>
    <n v="105.6"/>
    <x v="738"/>
    <d v="2025-02-04T00:00:00"/>
    <x v="42"/>
    <x v="2"/>
    <x v="0"/>
    <x v="0"/>
    <s v="California"/>
    <x v="8"/>
    <x v="14"/>
    <x v="5"/>
    <x v="2"/>
  </r>
  <r>
    <x v="839"/>
    <x v="8"/>
    <x v="1"/>
    <n v="22.1"/>
    <x v="573"/>
    <d v="2025-02-04T00:00:00"/>
    <x v="36"/>
    <x v="2"/>
    <x v="0"/>
    <x v="2"/>
    <s v="California"/>
    <x v="17"/>
    <x v="3"/>
    <x v="5"/>
    <x v="2"/>
  </r>
  <r>
    <x v="840"/>
    <x v="0"/>
    <x v="2"/>
    <n v="22.6"/>
    <x v="418"/>
    <d v="2025-02-04T00:00:00"/>
    <x v="36"/>
    <x v="2"/>
    <x v="2"/>
    <x v="0"/>
    <s v="California"/>
    <x v="17"/>
    <x v="3"/>
    <x v="5"/>
    <x v="2"/>
  </r>
  <r>
    <x v="841"/>
    <x v="10"/>
    <x v="13"/>
    <n v="26.3"/>
    <x v="739"/>
    <d v="2025-02-04T00:00:00"/>
    <x v="32"/>
    <x v="2"/>
    <x v="2"/>
    <x v="0"/>
    <s v="California"/>
    <x v="9"/>
    <x v="7"/>
    <x v="5"/>
    <x v="2"/>
  </r>
  <r>
    <x v="842"/>
    <x v="1"/>
    <x v="12"/>
    <n v="37.799999999999997"/>
    <x v="277"/>
    <d v="2025-02-04T00:00:00"/>
    <x v="36"/>
    <x v="2"/>
    <x v="0"/>
    <x v="2"/>
    <s v="California"/>
    <x v="11"/>
    <x v="3"/>
    <x v="5"/>
    <x v="2"/>
  </r>
  <r>
    <x v="843"/>
    <x v="6"/>
    <x v="14"/>
    <n v="96"/>
    <x v="740"/>
    <d v="2025-02-04T00:00:00"/>
    <x v="31"/>
    <x v="2"/>
    <x v="4"/>
    <x v="1"/>
    <s v="California"/>
    <x v="18"/>
    <x v="2"/>
    <x v="5"/>
    <x v="2"/>
  </r>
  <r>
    <x v="844"/>
    <x v="1"/>
    <x v="0"/>
    <n v="83.6"/>
    <x v="681"/>
    <d v="2025-02-04T00:00:00"/>
    <x v="31"/>
    <x v="2"/>
    <x v="2"/>
    <x v="1"/>
    <s v="California"/>
    <x v="19"/>
    <x v="2"/>
    <x v="5"/>
    <x v="2"/>
  </r>
  <r>
    <x v="845"/>
    <x v="2"/>
    <x v="13"/>
    <n v="72.599999999999994"/>
    <x v="349"/>
    <d v="2025-02-04T00:00:00"/>
    <x v="36"/>
    <x v="2"/>
    <x v="0"/>
    <x v="0"/>
    <s v="California"/>
    <x v="21"/>
    <x v="3"/>
    <x v="5"/>
    <x v="2"/>
  </r>
  <r>
    <x v="846"/>
    <x v="5"/>
    <x v="28"/>
    <n v="69.099999999999994"/>
    <x v="741"/>
    <d v="2025-02-05T00:00:00"/>
    <x v="40"/>
    <x v="1"/>
    <x v="0"/>
    <x v="2"/>
    <s v="California"/>
    <x v="21"/>
    <x v="4"/>
    <x v="5"/>
    <x v="1"/>
  </r>
  <r>
    <x v="847"/>
    <x v="4"/>
    <x v="1"/>
    <n v="22.6"/>
    <x v="705"/>
    <d v="2025-02-05T00:00:00"/>
    <x v="31"/>
    <x v="2"/>
    <x v="1"/>
    <x v="2"/>
    <s v="California"/>
    <x v="21"/>
    <x v="1"/>
    <x v="5"/>
    <x v="2"/>
  </r>
  <r>
    <x v="848"/>
    <x v="6"/>
    <x v="1"/>
    <n v="45.3"/>
    <x v="742"/>
    <d v="2025-02-05T00:00:00"/>
    <x v="35"/>
    <x v="1"/>
    <x v="4"/>
    <x v="2"/>
    <s v="California"/>
    <x v="21"/>
    <x v="5"/>
    <x v="5"/>
    <x v="1"/>
  </r>
  <r>
    <x v="849"/>
    <x v="2"/>
    <x v="1"/>
    <n v="115.1"/>
    <x v="743"/>
    <d v="2025-02-05T00:00:00"/>
    <x v="38"/>
    <x v="2"/>
    <x v="1"/>
    <x v="0"/>
    <s v="California"/>
    <x v="1"/>
    <x v="3"/>
    <x v="5"/>
    <x v="2"/>
  </r>
  <r>
    <x v="850"/>
    <x v="18"/>
    <x v="12"/>
    <n v="79"/>
    <x v="744"/>
    <d v="2025-02-05T00:00:00"/>
    <x v="31"/>
    <x v="1"/>
    <x v="2"/>
    <x v="4"/>
    <s v="California"/>
    <x v="1"/>
    <x v="1"/>
    <x v="5"/>
    <x v="1"/>
  </r>
  <r>
    <x v="851"/>
    <x v="6"/>
    <x v="9"/>
    <n v="52.8"/>
    <x v="723"/>
    <d v="2025-02-05T00:00:00"/>
    <x v="38"/>
    <x v="2"/>
    <x v="0"/>
    <x v="0"/>
    <s v="California"/>
    <x v="42"/>
    <x v="3"/>
    <x v="5"/>
    <x v="2"/>
  </r>
  <r>
    <x v="852"/>
    <x v="8"/>
    <x v="1"/>
    <n v="34.1"/>
    <x v="745"/>
    <d v="2025-02-05T00:00:00"/>
    <x v="38"/>
    <x v="1"/>
    <x v="3"/>
    <x v="2"/>
    <s v="California"/>
    <x v="44"/>
    <x v="3"/>
    <x v="5"/>
    <x v="1"/>
  </r>
  <r>
    <x v="853"/>
    <x v="6"/>
    <x v="9"/>
    <n v="107.9"/>
    <x v="746"/>
    <d v="2025-02-05T00:00:00"/>
    <x v="36"/>
    <x v="2"/>
    <x v="0"/>
    <x v="2"/>
    <s v="California"/>
    <x v="50"/>
    <x v="7"/>
    <x v="5"/>
    <x v="2"/>
  </r>
  <r>
    <x v="854"/>
    <x v="8"/>
    <x v="15"/>
    <n v="48.5"/>
    <x v="747"/>
    <d v="2025-02-05T00:00:00"/>
    <x v="36"/>
    <x v="1"/>
    <x v="2"/>
    <x v="2"/>
    <s v="California"/>
    <x v="3"/>
    <x v="7"/>
    <x v="5"/>
    <x v="1"/>
  </r>
  <r>
    <x v="855"/>
    <x v="5"/>
    <x v="2"/>
    <n v="34.700000000000003"/>
    <x v="748"/>
    <d v="2025-02-05T00:00:00"/>
    <x v="38"/>
    <x v="0"/>
    <x v="4"/>
    <x v="1"/>
    <s v="California"/>
    <x v="3"/>
    <x v="3"/>
    <x v="5"/>
    <x v="0"/>
  </r>
  <r>
    <x v="856"/>
    <x v="8"/>
    <x v="0"/>
    <n v="16.8"/>
    <x v="749"/>
    <d v="2025-02-05T00:00:00"/>
    <x v="31"/>
    <x v="2"/>
    <x v="3"/>
    <x v="0"/>
    <s v="California"/>
    <x v="3"/>
    <x v="1"/>
    <x v="5"/>
    <x v="2"/>
  </r>
  <r>
    <x v="857"/>
    <x v="8"/>
    <x v="13"/>
    <n v="18.3"/>
    <x v="17"/>
    <d v="2025-02-05T00:00:00"/>
    <x v="39"/>
    <x v="2"/>
    <x v="0"/>
    <x v="0"/>
    <s v="California"/>
    <x v="3"/>
    <x v="2"/>
    <x v="5"/>
    <x v="2"/>
  </r>
  <r>
    <x v="858"/>
    <x v="18"/>
    <x v="2"/>
    <n v="55.9"/>
    <x v="750"/>
    <d v="2025-02-05T00:00:00"/>
    <x v="40"/>
    <x v="1"/>
    <x v="3"/>
    <x v="1"/>
    <s v="California"/>
    <x v="3"/>
    <x v="4"/>
    <x v="5"/>
    <x v="1"/>
  </r>
  <r>
    <x v="859"/>
    <x v="8"/>
    <x v="2"/>
    <n v="39.200000000000003"/>
    <x v="557"/>
    <d v="2025-02-05T00:00:00"/>
    <x v="31"/>
    <x v="2"/>
    <x v="0"/>
    <x v="1"/>
    <s v="California"/>
    <x v="3"/>
    <x v="1"/>
    <x v="5"/>
    <x v="2"/>
  </r>
  <r>
    <x v="860"/>
    <x v="15"/>
    <x v="12"/>
    <n v="66.5"/>
    <x v="751"/>
    <d v="2025-02-05T00:00:00"/>
    <x v="31"/>
    <x v="0"/>
    <x v="3"/>
    <x v="1"/>
    <s v="California"/>
    <x v="3"/>
    <x v="1"/>
    <x v="5"/>
    <x v="0"/>
  </r>
  <r>
    <x v="861"/>
    <x v="6"/>
    <x v="13"/>
    <n v="52.1"/>
    <x v="752"/>
    <d v="2025-02-05T00:00:00"/>
    <x v="31"/>
    <x v="1"/>
    <x v="1"/>
    <x v="1"/>
    <s v="California"/>
    <x v="16"/>
    <x v="1"/>
    <x v="5"/>
    <x v="1"/>
  </r>
  <r>
    <x v="862"/>
    <x v="8"/>
    <x v="1"/>
    <n v="19"/>
    <x v="753"/>
    <d v="2025-02-05T00:00:00"/>
    <x v="38"/>
    <x v="1"/>
    <x v="4"/>
    <x v="2"/>
    <s v="California"/>
    <x v="6"/>
    <x v="3"/>
    <x v="5"/>
    <x v="1"/>
  </r>
  <r>
    <x v="863"/>
    <x v="7"/>
    <x v="2"/>
    <n v="84.8"/>
    <x v="754"/>
    <d v="2025-02-05T00:00:00"/>
    <x v="31"/>
    <x v="2"/>
    <x v="2"/>
    <x v="0"/>
    <s v="California"/>
    <x v="8"/>
    <x v="1"/>
    <x v="5"/>
    <x v="2"/>
  </r>
  <r>
    <x v="864"/>
    <x v="2"/>
    <x v="12"/>
    <n v="63.9"/>
    <x v="755"/>
    <d v="2025-02-05T00:00:00"/>
    <x v="39"/>
    <x v="2"/>
    <x v="0"/>
    <x v="0"/>
    <s v="California"/>
    <x v="8"/>
    <x v="2"/>
    <x v="5"/>
    <x v="2"/>
  </r>
  <r>
    <x v="865"/>
    <x v="2"/>
    <x v="2"/>
    <n v="65.5"/>
    <x v="756"/>
    <d v="2025-02-05T00:00:00"/>
    <x v="36"/>
    <x v="2"/>
    <x v="1"/>
    <x v="1"/>
    <s v="California"/>
    <x v="8"/>
    <x v="7"/>
    <x v="5"/>
    <x v="2"/>
  </r>
  <r>
    <x v="866"/>
    <x v="12"/>
    <x v="1"/>
    <n v="116.2"/>
    <x v="757"/>
    <d v="2025-02-05T00:00:00"/>
    <x v="40"/>
    <x v="1"/>
    <x v="3"/>
    <x v="0"/>
    <s v="California"/>
    <x v="17"/>
    <x v="4"/>
    <x v="5"/>
    <x v="1"/>
  </r>
  <r>
    <x v="867"/>
    <x v="10"/>
    <x v="12"/>
    <n v="22.9"/>
    <x v="758"/>
    <d v="2025-02-05T00:00:00"/>
    <x v="31"/>
    <x v="2"/>
    <x v="2"/>
    <x v="1"/>
    <s v="California"/>
    <x v="38"/>
    <x v="1"/>
    <x v="5"/>
    <x v="2"/>
  </r>
  <r>
    <x v="868"/>
    <x v="10"/>
    <x v="2"/>
    <n v="53.7"/>
    <x v="759"/>
    <d v="2025-02-05T00:00:00"/>
    <x v="38"/>
    <x v="1"/>
    <x v="0"/>
    <x v="4"/>
    <s v="California"/>
    <x v="18"/>
    <x v="3"/>
    <x v="5"/>
    <x v="1"/>
  </r>
  <r>
    <x v="869"/>
    <x v="6"/>
    <x v="9"/>
    <n v="43.2"/>
    <x v="760"/>
    <d v="2025-02-05T00:00:00"/>
    <x v="31"/>
    <x v="2"/>
    <x v="0"/>
    <x v="0"/>
    <s v="California"/>
    <x v="19"/>
    <x v="1"/>
    <x v="5"/>
    <x v="2"/>
  </r>
  <r>
    <x v="870"/>
    <x v="1"/>
    <x v="2"/>
    <n v="84.5"/>
    <x v="103"/>
    <d v="2025-02-05T00:00:00"/>
    <x v="31"/>
    <x v="1"/>
    <x v="2"/>
    <x v="2"/>
    <s v="California"/>
    <x v="51"/>
    <x v="1"/>
    <x v="5"/>
    <x v="1"/>
  </r>
  <r>
    <x v="871"/>
    <x v="3"/>
    <x v="1"/>
    <n v="42.2"/>
    <x v="533"/>
    <d v="2025-02-05T00:00:00"/>
    <x v="38"/>
    <x v="2"/>
    <x v="1"/>
    <x v="2"/>
    <s v="California"/>
    <x v="1"/>
    <x v="3"/>
    <x v="5"/>
    <x v="2"/>
  </r>
  <r>
    <x v="872"/>
    <x v="2"/>
    <x v="13"/>
    <n v="94.7"/>
    <x v="761"/>
    <d v="2025-02-05T00:00:00"/>
    <x v="39"/>
    <x v="2"/>
    <x v="1"/>
    <x v="2"/>
    <s v="California"/>
    <x v="2"/>
    <x v="2"/>
    <x v="5"/>
    <x v="2"/>
  </r>
  <r>
    <x v="873"/>
    <x v="8"/>
    <x v="16"/>
    <n v="16.7"/>
    <x v="182"/>
    <d v="2025-02-05T00:00:00"/>
    <x v="43"/>
    <x v="2"/>
    <x v="0"/>
    <x v="2"/>
    <s v="California"/>
    <x v="2"/>
    <x v="13"/>
    <x v="5"/>
    <x v="2"/>
  </r>
  <r>
    <x v="874"/>
    <x v="2"/>
    <x v="1"/>
    <n v="83.6"/>
    <x v="762"/>
    <d v="2025-02-05T00:00:00"/>
    <x v="40"/>
    <x v="2"/>
    <x v="1"/>
    <x v="0"/>
    <s v="California"/>
    <x v="3"/>
    <x v="4"/>
    <x v="5"/>
    <x v="2"/>
  </r>
  <r>
    <x v="875"/>
    <x v="7"/>
    <x v="13"/>
    <n v="33.6"/>
    <x v="763"/>
    <d v="2025-02-06T00:00:00"/>
    <x v="31"/>
    <x v="2"/>
    <x v="3"/>
    <x v="0"/>
    <s v="California"/>
    <x v="3"/>
    <x v="3"/>
    <x v="5"/>
    <x v="2"/>
  </r>
  <r>
    <x v="876"/>
    <x v="7"/>
    <x v="1"/>
    <n v="64.7"/>
    <x v="385"/>
    <d v="2025-02-06T00:00:00"/>
    <x v="39"/>
    <x v="1"/>
    <x v="1"/>
    <x v="2"/>
    <s v="California"/>
    <x v="3"/>
    <x v="1"/>
    <x v="5"/>
    <x v="1"/>
  </r>
  <r>
    <x v="877"/>
    <x v="0"/>
    <x v="2"/>
    <n v="15.7"/>
    <x v="179"/>
    <d v="2025-02-06T00:00:00"/>
    <x v="44"/>
    <x v="2"/>
    <x v="0"/>
    <x v="0"/>
    <s v="California"/>
    <x v="3"/>
    <x v="4"/>
    <x v="5"/>
    <x v="2"/>
  </r>
  <r>
    <x v="878"/>
    <x v="15"/>
    <x v="13"/>
    <n v="49.4"/>
    <x v="764"/>
    <d v="2025-02-06T00:00:00"/>
    <x v="38"/>
    <x v="1"/>
    <x v="1"/>
    <x v="0"/>
    <s v="California"/>
    <x v="3"/>
    <x v="7"/>
    <x v="5"/>
    <x v="1"/>
  </r>
  <r>
    <x v="879"/>
    <x v="10"/>
    <x v="13"/>
    <n v="37"/>
    <x v="765"/>
    <d v="2025-02-06T00:00:00"/>
    <x v="35"/>
    <x v="2"/>
    <x v="1"/>
    <x v="2"/>
    <s v="California"/>
    <x v="3"/>
    <x v="2"/>
    <x v="5"/>
    <x v="2"/>
  </r>
  <r>
    <x v="880"/>
    <x v="2"/>
    <x v="1"/>
    <n v="83.7"/>
    <x v="589"/>
    <d v="2025-02-06T00:00:00"/>
    <x v="39"/>
    <x v="2"/>
    <x v="3"/>
    <x v="2"/>
    <s v="California"/>
    <x v="3"/>
    <x v="1"/>
    <x v="5"/>
    <x v="2"/>
  </r>
  <r>
    <x v="881"/>
    <x v="1"/>
    <x v="9"/>
    <n v="35.1"/>
    <x v="766"/>
    <d v="2025-02-06T00:00:00"/>
    <x v="31"/>
    <x v="2"/>
    <x v="0"/>
    <x v="0"/>
    <s v="California"/>
    <x v="3"/>
    <x v="3"/>
    <x v="5"/>
    <x v="2"/>
  </r>
  <r>
    <x v="882"/>
    <x v="16"/>
    <x v="8"/>
    <n v="74"/>
    <x v="767"/>
    <d v="2025-02-06T00:00:00"/>
    <x v="31"/>
    <x v="2"/>
    <x v="4"/>
    <x v="0"/>
    <s v="California"/>
    <x v="37"/>
    <x v="3"/>
    <x v="5"/>
    <x v="2"/>
  </r>
  <r>
    <x v="883"/>
    <x v="6"/>
    <x v="25"/>
    <n v="55.5"/>
    <x v="768"/>
    <d v="2025-02-06T00:00:00"/>
    <x v="35"/>
    <x v="1"/>
    <x v="3"/>
    <x v="0"/>
    <s v="California"/>
    <x v="49"/>
    <x v="2"/>
    <x v="5"/>
    <x v="1"/>
  </r>
  <r>
    <x v="884"/>
    <x v="11"/>
    <x v="1"/>
    <n v="38.9"/>
    <x v="482"/>
    <d v="2025-02-06T00:00:00"/>
    <x v="39"/>
    <x v="2"/>
    <x v="1"/>
    <x v="2"/>
    <s v="California"/>
    <x v="25"/>
    <x v="1"/>
    <x v="5"/>
    <x v="2"/>
  </r>
  <r>
    <x v="885"/>
    <x v="16"/>
    <x v="1"/>
    <n v="64.599999999999994"/>
    <x v="769"/>
    <d v="2025-02-06T00:00:00"/>
    <x v="45"/>
    <x v="1"/>
    <x v="2"/>
    <x v="1"/>
    <s v="California"/>
    <x v="25"/>
    <x v="6"/>
    <x v="5"/>
    <x v="1"/>
  </r>
  <r>
    <x v="886"/>
    <x v="2"/>
    <x v="2"/>
    <n v="95.3"/>
    <x v="770"/>
    <d v="2025-02-06T00:00:00"/>
    <x v="31"/>
    <x v="1"/>
    <x v="0"/>
    <x v="0"/>
    <s v="California"/>
    <x v="5"/>
    <x v="3"/>
    <x v="5"/>
    <x v="1"/>
  </r>
  <r>
    <x v="887"/>
    <x v="13"/>
    <x v="2"/>
    <n v="25.8"/>
    <x v="771"/>
    <d v="2025-02-06T00:00:00"/>
    <x v="31"/>
    <x v="2"/>
    <x v="1"/>
    <x v="1"/>
    <s v="California"/>
    <x v="6"/>
    <x v="3"/>
    <x v="5"/>
    <x v="2"/>
  </r>
  <r>
    <x v="888"/>
    <x v="0"/>
    <x v="1"/>
    <n v="11.6"/>
    <x v="772"/>
    <d v="2025-02-06T00:00:00"/>
    <x v="37"/>
    <x v="2"/>
    <x v="1"/>
    <x v="1"/>
    <s v="California"/>
    <x v="6"/>
    <x v="5"/>
    <x v="5"/>
    <x v="2"/>
  </r>
  <r>
    <x v="889"/>
    <x v="7"/>
    <x v="0"/>
    <n v="52.3"/>
    <x v="773"/>
    <d v="2025-02-06T00:00:00"/>
    <x v="31"/>
    <x v="2"/>
    <x v="1"/>
    <x v="0"/>
    <s v="California"/>
    <x v="8"/>
    <x v="3"/>
    <x v="5"/>
    <x v="2"/>
  </r>
  <r>
    <x v="890"/>
    <x v="2"/>
    <x v="7"/>
    <n v="112.2"/>
    <x v="774"/>
    <d v="2025-02-06T00:00:00"/>
    <x v="31"/>
    <x v="2"/>
    <x v="1"/>
    <x v="1"/>
    <s v="California"/>
    <x v="8"/>
    <x v="3"/>
    <x v="5"/>
    <x v="2"/>
  </r>
  <r>
    <x v="891"/>
    <x v="4"/>
    <x v="9"/>
    <n v="34.6"/>
    <x v="775"/>
    <d v="2025-02-06T00:00:00"/>
    <x v="39"/>
    <x v="1"/>
    <x v="2"/>
    <x v="0"/>
    <s v="California"/>
    <x v="8"/>
    <x v="1"/>
    <x v="5"/>
    <x v="1"/>
  </r>
  <r>
    <x v="892"/>
    <x v="14"/>
    <x v="12"/>
    <n v="20.100000000000001"/>
    <x v="48"/>
    <d v="2025-02-06T00:00:00"/>
    <x v="44"/>
    <x v="1"/>
    <x v="1"/>
    <x v="2"/>
    <s v="California"/>
    <x v="8"/>
    <x v="4"/>
    <x v="5"/>
    <x v="1"/>
  </r>
  <r>
    <x v="893"/>
    <x v="2"/>
    <x v="12"/>
    <n v="56.4"/>
    <x v="776"/>
    <d v="2025-02-06T00:00:00"/>
    <x v="39"/>
    <x v="2"/>
    <x v="2"/>
    <x v="0"/>
    <s v="California"/>
    <x v="10"/>
    <x v="1"/>
    <x v="5"/>
    <x v="2"/>
  </r>
  <r>
    <x v="894"/>
    <x v="13"/>
    <x v="11"/>
    <n v="55.3"/>
    <x v="777"/>
    <d v="2025-02-06T00:00:00"/>
    <x v="39"/>
    <x v="2"/>
    <x v="1"/>
    <x v="4"/>
    <s v="California"/>
    <x v="11"/>
    <x v="1"/>
    <x v="5"/>
    <x v="2"/>
  </r>
  <r>
    <x v="895"/>
    <x v="2"/>
    <x v="31"/>
    <n v="75.5"/>
    <x v="778"/>
    <d v="2025-02-06T00:00:00"/>
    <x v="31"/>
    <x v="2"/>
    <x v="0"/>
    <x v="0"/>
    <s v="California"/>
    <x v="11"/>
    <x v="3"/>
    <x v="5"/>
    <x v="2"/>
  </r>
  <r>
    <x v="896"/>
    <x v="8"/>
    <x v="0"/>
    <n v="23.6"/>
    <x v="779"/>
    <d v="2025-02-06T00:00:00"/>
    <x v="40"/>
    <x v="2"/>
    <x v="0"/>
    <x v="0"/>
    <s v="California"/>
    <x v="19"/>
    <x v="0"/>
    <x v="5"/>
    <x v="2"/>
  </r>
  <r>
    <x v="897"/>
    <x v="9"/>
    <x v="1"/>
    <n v="70.7"/>
    <x v="780"/>
    <d v="2025-02-06T00:00:00"/>
    <x v="39"/>
    <x v="2"/>
    <x v="2"/>
    <x v="0"/>
    <s v="California"/>
    <x v="19"/>
    <x v="1"/>
    <x v="5"/>
    <x v="2"/>
  </r>
  <r>
    <x v="898"/>
    <x v="12"/>
    <x v="1"/>
    <n v="43.2"/>
    <x v="781"/>
    <d v="2025-02-06T00:00:00"/>
    <x v="31"/>
    <x v="2"/>
    <x v="2"/>
    <x v="0"/>
    <s v="California"/>
    <x v="31"/>
    <x v="3"/>
    <x v="5"/>
    <x v="2"/>
  </r>
  <r>
    <x v="899"/>
    <x v="9"/>
    <x v="11"/>
    <n v="70"/>
    <x v="782"/>
    <d v="2025-02-06T00:00:00"/>
    <x v="31"/>
    <x v="0"/>
    <x v="1"/>
    <x v="0"/>
    <s v="California"/>
    <x v="52"/>
    <x v="3"/>
    <x v="5"/>
    <x v="0"/>
  </r>
  <r>
    <x v="900"/>
    <x v="0"/>
    <x v="1"/>
    <n v="20.5"/>
    <x v="783"/>
    <d v="2025-02-06T00:00:00"/>
    <x v="39"/>
    <x v="2"/>
    <x v="2"/>
    <x v="4"/>
    <s v="California"/>
    <x v="13"/>
    <x v="1"/>
    <x v="5"/>
    <x v="2"/>
  </r>
  <r>
    <x v="901"/>
    <x v="0"/>
    <x v="12"/>
    <n v="29.1"/>
    <x v="565"/>
    <d v="2025-02-06T00:00:00"/>
    <x v="31"/>
    <x v="2"/>
    <x v="3"/>
    <x v="0"/>
    <s v="California"/>
    <x v="28"/>
    <x v="3"/>
    <x v="5"/>
    <x v="2"/>
  </r>
  <r>
    <x v="902"/>
    <x v="6"/>
    <x v="11"/>
    <n v="53.6"/>
    <x v="784"/>
    <d v="2025-02-06T00:00:00"/>
    <x v="31"/>
    <x v="1"/>
    <x v="2"/>
    <x v="1"/>
    <s v="California"/>
    <x v="3"/>
    <x v="3"/>
    <x v="5"/>
    <x v="1"/>
  </r>
  <r>
    <x v="903"/>
    <x v="6"/>
    <x v="9"/>
    <n v="72.3"/>
    <x v="785"/>
    <d v="2025-02-06T00:00:00"/>
    <x v="39"/>
    <x v="2"/>
    <x v="1"/>
    <x v="0"/>
    <s v="California"/>
    <x v="3"/>
    <x v="1"/>
    <x v="5"/>
    <x v="2"/>
  </r>
  <r>
    <x v="904"/>
    <x v="13"/>
    <x v="12"/>
    <n v="22.6"/>
    <x v="786"/>
    <d v="2025-02-06T00:00:00"/>
    <x v="35"/>
    <x v="3"/>
    <x v="0"/>
    <x v="1"/>
    <s v="California"/>
    <x v="3"/>
    <x v="2"/>
    <x v="5"/>
    <x v="3"/>
  </r>
  <r>
    <x v="905"/>
    <x v="9"/>
    <x v="1"/>
    <n v="44.2"/>
    <x v="787"/>
    <d v="2025-02-06T00:00:00"/>
    <x v="37"/>
    <x v="0"/>
    <x v="2"/>
    <x v="4"/>
    <s v="California"/>
    <x v="3"/>
    <x v="5"/>
    <x v="5"/>
    <x v="0"/>
  </r>
  <r>
    <x v="906"/>
    <x v="9"/>
    <x v="2"/>
    <n v="94.1"/>
    <x v="788"/>
    <d v="2025-02-06T00:00:00"/>
    <x v="46"/>
    <x v="2"/>
    <x v="2"/>
    <x v="2"/>
    <s v="California"/>
    <x v="3"/>
    <x v="10"/>
    <x v="5"/>
    <x v="2"/>
  </r>
  <r>
    <x v="907"/>
    <x v="8"/>
    <x v="2"/>
    <n v="17.899999999999999"/>
    <x v="789"/>
    <d v="2025-02-06T00:00:00"/>
    <x v="39"/>
    <x v="1"/>
    <x v="1"/>
    <x v="1"/>
    <s v="California"/>
    <x v="3"/>
    <x v="1"/>
    <x v="5"/>
    <x v="1"/>
  </r>
  <r>
    <x v="908"/>
    <x v="12"/>
    <x v="3"/>
    <n v="52.7"/>
    <x v="790"/>
    <d v="2025-02-06T00:00:00"/>
    <x v="31"/>
    <x v="1"/>
    <x v="1"/>
    <x v="1"/>
    <s v="California"/>
    <x v="3"/>
    <x v="3"/>
    <x v="5"/>
    <x v="1"/>
  </r>
  <r>
    <x v="909"/>
    <x v="8"/>
    <x v="0"/>
    <n v="36.799999999999997"/>
    <x v="791"/>
    <d v="2025-02-06T00:00:00"/>
    <x v="38"/>
    <x v="0"/>
    <x v="0"/>
    <x v="2"/>
    <s v="California"/>
    <x v="3"/>
    <x v="7"/>
    <x v="5"/>
    <x v="0"/>
  </r>
  <r>
    <x v="910"/>
    <x v="4"/>
    <x v="0"/>
    <n v="52.5"/>
    <x v="413"/>
    <d v="2025-02-06T00:00:00"/>
    <x v="31"/>
    <x v="1"/>
    <x v="0"/>
    <x v="1"/>
    <s v="California"/>
    <x v="6"/>
    <x v="3"/>
    <x v="5"/>
    <x v="1"/>
  </r>
  <r>
    <x v="911"/>
    <x v="2"/>
    <x v="1"/>
    <n v="133.80000000000001"/>
    <x v="792"/>
    <d v="2025-02-06T00:00:00"/>
    <x v="39"/>
    <x v="1"/>
    <x v="0"/>
    <x v="1"/>
    <s v="California"/>
    <x v="7"/>
    <x v="1"/>
    <x v="5"/>
    <x v="1"/>
  </r>
  <r>
    <x v="912"/>
    <x v="6"/>
    <x v="1"/>
    <n v="53.2"/>
    <x v="793"/>
    <d v="2025-02-06T00:00:00"/>
    <x v="39"/>
    <x v="1"/>
    <x v="0"/>
    <x v="0"/>
    <s v="California"/>
    <x v="17"/>
    <x v="1"/>
    <x v="5"/>
    <x v="1"/>
  </r>
  <r>
    <x v="913"/>
    <x v="14"/>
    <x v="13"/>
    <n v="18.7"/>
    <x v="794"/>
    <d v="2025-02-06T00:00:00"/>
    <x v="39"/>
    <x v="0"/>
    <x v="0"/>
    <x v="1"/>
    <s v="California"/>
    <x v="10"/>
    <x v="1"/>
    <x v="5"/>
    <x v="0"/>
  </r>
  <r>
    <x v="914"/>
    <x v="6"/>
    <x v="12"/>
    <n v="108.8"/>
    <x v="795"/>
    <d v="2025-02-06T00:00:00"/>
    <x v="31"/>
    <x v="2"/>
    <x v="3"/>
    <x v="2"/>
    <s v="California"/>
    <x v="11"/>
    <x v="3"/>
    <x v="5"/>
    <x v="2"/>
  </r>
  <r>
    <x v="915"/>
    <x v="15"/>
    <x v="9"/>
    <n v="38.5"/>
    <x v="796"/>
    <d v="2025-02-06T00:00:00"/>
    <x v="37"/>
    <x v="2"/>
    <x v="0"/>
    <x v="1"/>
    <s v="California"/>
    <x v="14"/>
    <x v="5"/>
    <x v="5"/>
    <x v="2"/>
  </r>
  <r>
    <x v="916"/>
    <x v="10"/>
    <x v="7"/>
    <n v="46.5"/>
    <x v="797"/>
    <d v="2025-02-06T00:00:00"/>
    <x v="39"/>
    <x v="1"/>
    <x v="2"/>
    <x v="1"/>
    <s v="California"/>
    <x v="2"/>
    <x v="1"/>
    <x v="5"/>
    <x v="1"/>
  </r>
  <r>
    <x v="917"/>
    <x v="2"/>
    <x v="2"/>
    <n v="75.8"/>
    <x v="129"/>
    <d v="2025-02-06T00:00:00"/>
    <x v="37"/>
    <x v="2"/>
    <x v="1"/>
    <x v="4"/>
    <s v="California"/>
    <x v="44"/>
    <x v="5"/>
    <x v="5"/>
    <x v="2"/>
  </r>
  <r>
    <x v="918"/>
    <x v="8"/>
    <x v="0"/>
    <n v="20.9"/>
    <x v="798"/>
    <d v="2025-02-06T00:00:00"/>
    <x v="37"/>
    <x v="1"/>
    <x v="0"/>
    <x v="0"/>
    <s v="California"/>
    <x v="22"/>
    <x v="5"/>
    <x v="5"/>
    <x v="1"/>
  </r>
  <r>
    <x v="919"/>
    <x v="18"/>
    <x v="2"/>
    <n v="47.4"/>
    <x v="60"/>
    <d v="2025-02-06T00:00:00"/>
    <x v="35"/>
    <x v="2"/>
    <x v="0"/>
    <x v="0"/>
    <s v="California"/>
    <x v="3"/>
    <x v="2"/>
    <x v="5"/>
    <x v="2"/>
  </r>
  <r>
    <x v="920"/>
    <x v="9"/>
    <x v="1"/>
    <n v="53.8"/>
    <x v="799"/>
    <d v="2025-02-06T00:00:00"/>
    <x v="31"/>
    <x v="0"/>
    <x v="0"/>
    <x v="1"/>
    <s v="California"/>
    <x v="3"/>
    <x v="3"/>
    <x v="5"/>
    <x v="0"/>
  </r>
  <r>
    <x v="921"/>
    <x v="8"/>
    <x v="2"/>
    <n v="24.6"/>
    <x v="800"/>
    <d v="2025-02-06T00:00:00"/>
    <x v="39"/>
    <x v="3"/>
    <x v="1"/>
    <x v="2"/>
    <s v="California"/>
    <x v="3"/>
    <x v="1"/>
    <x v="5"/>
    <x v="3"/>
  </r>
  <r>
    <x v="922"/>
    <x v="9"/>
    <x v="2"/>
    <n v="70.900000000000006"/>
    <x v="801"/>
    <d v="2025-02-06T00:00:00"/>
    <x v="40"/>
    <x v="2"/>
    <x v="2"/>
    <x v="2"/>
    <s v="California"/>
    <x v="3"/>
    <x v="0"/>
    <x v="5"/>
    <x v="2"/>
  </r>
  <r>
    <x v="923"/>
    <x v="17"/>
    <x v="2"/>
    <n v="31.9"/>
    <x v="802"/>
    <d v="2025-02-06T00:00:00"/>
    <x v="39"/>
    <x v="2"/>
    <x v="2"/>
    <x v="2"/>
    <s v="California"/>
    <x v="3"/>
    <x v="1"/>
    <x v="5"/>
    <x v="2"/>
  </r>
  <r>
    <x v="924"/>
    <x v="0"/>
    <x v="1"/>
    <n v="20.399999999999999"/>
    <x v="803"/>
    <d v="2025-02-06T00:00:00"/>
    <x v="37"/>
    <x v="1"/>
    <x v="3"/>
    <x v="2"/>
    <s v="California"/>
    <x v="3"/>
    <x v="5"/>
    <x v="5"/>
    <x v="1"/>
  </r>
  <r>
    <x v="925"/>
    <x v="8"/>
    <x v="1"/>
    <n v="18.600000000000001"/>
    <x v="804"/>
    <d v="2025-02-06T00:00:00"/>
    <x v="39"/>
    <x v="0"/>
    <x v="0"/>
    <x v="1"/>
    <s v="California"/>
    <x v="3"/>
    <x v="1"/>
    <x v="5"/>
    <x v="0"/>
  </r>
  <r>
    <x v="926"/>
    <x v="4"/>
    <x v="9"/>
    <n v="48.3"/>
    <x v="805"/>
    <d v="2025-02-06T00:00:00"/>
    <x v="39"/>
    <x v="2"/>
    <x v="1"/>
    <x v="0"/>
    <s v="California"/>
    <x v="3"/>
    <x v="1"/>
    <x v="5"/>
    <x v="2"/>
  </r>
  <r>
    <x v="927"/>
    <x v="0"/>
    <x v="12"/>
    <n v="27.7"/>
    <x v="806"/>
    <d v="2025-02-06T00:00:00"/>
    <x v="39"/>
    <x v="2"/>
    <x v="0"/>
    <x v="0"/>
    <s v="California"/>
    <x v="3"/>
    <x v="1"/>
    <x v="5"/>
    <x v="2"/>
  </r>
  <r>
    <x v="928"/>
    <x v="4"/>
    <x v="9"/>
    <n v="22.5"/>
    <x v="158"/>
    <d v="2025-02-06T00:00:00"/>
    <x v="39"/>
    <x v="2"/>
    <x v="4"/>
    <x v="2"/>
    <s v="California"/>
    <x v="3"/>
    <x v="1"/>
    <x v="5"/>
    <x v="2"/>
  </r>
  <r>
    <x v="929"/>
    <x v="17"/>
    <x v="9"/>
    <n v="21.6"/>
    <x v="807"/>
    <d v="2025-02-06T00:00:00"/>
    <x v="42"/>
    <x v="2"/>
    <x v="0"/>
    <x v="1"/>
    <s v="California"/>
    <x v="3"/>
    <x v="9"/>
    <x v="5"/>
    <x v="2"/>
  </r>
  <r>
    <x v="930"/>
    <x v="10"/>
    <x v="3"/>
    <n v="26.3"/>
    <x v="808"/>
    <d v="2025-02-06T00:00:00"/>
    <x v="38"/>
    <x v="2"/>
    <x v="2"/>
    <x v="1"/>
    <s v="California"/>
    <x v="3"/>
    <x v="7"/>
    <x v="5"/>
    <x v="2"/>
  </r>
  <r>
    <x v="931"/>
    <x v="6"/>
    <x v="3"/>
    <n v="103"/>
    <x v="809"/>
    <d v="2025-02-07T00:00:00"/>
    <x v="39"/>
    <x v="1"/>
    <x v="0"/>
    <x v="2"/>
    <s v="California"/>
    <x v="6"/>
    <x v="3"/>
    <x v="5"/>
    <x v="1"/>
  </r>
  <r>
    <x v="932"/>
    <x v="5"/>
    <x v="20"/>
    <n v="46.6"/>
    <x v="810"/>
    <d v="2025-02-07T00:00:00"/>
    <x v="39"/>
    <x v="2"/>
    <x v="0"/>
    <x v="1"/>
    <s v="California"/>
    <x v="6"/>
    <x v="3"/>
    <x v="5"/>
    <x v="2"/>
  </r>
  <r>
    <x v="933"/>
    <x v="0"/>
    <x v="9"/>
    <n v="32.200000000000003"/>
    <x v="811"/>
    <d v="2025-02-07T00:00:00"/>
    <x v="37"/>
    <x v="2"/>
    <x v="0"/>
    <x v="2"/>
    <s v="California"/>
    <x v="36"/>
    <x v="2"/>
    <x v="5"/>
    <x v="2"/>
  </r>
  <r>
    <x v="934"/>
    <x v="8"/>
    <x v="2"/>
    <n v="22"/>
    <x v="812"/>
    <d v="2025-02-07T00:00:00"/>
    <x v="42"/>
    <x v="1"/>
    <x v="1"/>
    <x v="0"/>
    <s v="California"/>
    <x v="7"/>
    <x v="6"/>
    <x v="5"/>
    <x v="1"/>
  </r>
  <r>
    <x v="935"/>
    <x v="0"/>
    <x v="1"/>
    <n v="25.2"/>
    <x v="813"/>
    <d v="2025-02-07T00:00:00"/>
    <x v="40"/>
    <x v="2"/>
    <x v="0"/>
    <x v="0"/>
    <s v="California"/>
    <x v="7"/>
    <x v="5"/>
    <x v="5"/>
    <x v="2"/>
  </r>
  <r>
    <x v="936"/>
    <x v="1"/>
    <x v="13"/>
    <n v="68.7"/>
    <x v="814"/>
    <d v="2025-02-07T00:00:00"/>
    <x v="35"/>
    <x v="1"/>
    <x v="4"/>
    <x v="0"/>
    <s v="California"/>
    <x v="8"/>
    <x v="1"/>
    <x v="5"/>
    <x v="1"/>
  </r>
  <r>
    <x v="937"/>
    <x v="0"/>
    <x v="2"/>
    <n v="22.2"/>
    <x v="815"/>
    <d v="2025-02-07T00:00:00"/>
    <x v="37"/>
    <x v="1"/>
    <x v="2"/>
    <x v="2"/>
    <s v="California"/>
    <x v="8"/>
    <x v="2"/>
    <x v="5"/>
    <x v="1"/>
  </r>
  <r>
    <x v="938"/>
    <x v="1"/>
    <x v="3"/>
    <n v="36"/>
    <x v="816"/>
    <d v="2025-02-07T00:00:00"/>
    <x v="39"/>
    <x v="2"/>
    <x v="1"/>
    <x v="0"/>
    <s v="California"/>
    <x v="8"/>
    <x v="3"/>
    <x v="5"/>
    <x v="2"/>
  </r>
  <r>
    <x v="939"/>
    <x v="18"/>
    <x v="0"/>
    <n v="50.6"/>
    <x v="578"/>
    <d v="2025-02-07T00:00:00"/>
    <x v="35"/>
    <x v="2"/>
    <x v="0"/>
    <x v="1"/>
    <s v="California"/>
    <x v="8"/>
    <x v="1"/>
    <x v="5"/>
    <x v="2"/>
  </r>
  <r>
    <x v="940"/>
    <x v="15"/>
    <x v="1"/>
    <n v="44.9"/>
    <x v="817"/>
    <d v="2025-02-07T00:00:00"/>
    <x v="35"/>
    <x v="1"/>
    <x v="0"/>
    <x v="1"/>
    <s v="California"/>
    <x v="8"/>
    <x v="1"/>
    <x v="5"/>
    <x v="1"/>
  </r>
  <r>
    <x v="941"/>
    <x v="6"/>
    <x v="2"/>
    <n v="71.599999999999994"/>
    <x v="818"/>
    <d v="2025-02-07T00:00:00"/>
    <x v="40"/>
    <x v="1"/>
    <x v="1"/>
    <x v="2"/>
    <s v="California"/>
    <x v="10"/>
    <x v="5"/>
    <x v="5"/>
    <x v="1"/>
  </r>
  <r>
    <x v="942"/>
    <x v="6"/>
    <x v="13"/>
    <n v="51.5"/>
    <x v="15"/>
    <d v="2025-02-07T00:00:00"/>
    <x v="35"/>
    <x v="0"/>
    <x v="4"/>
    <x v="0"/>
    <s v="California"/>
    <x v="11"/>
    <x v="1"/>
    <x v="5"/>
    <x v="0"/>
  </r>
  <r>
    <x v="943"/>
    <x v="7"/>
    <x v="9"/>
    <n v="55.5"/>
    <x v="819"/>
    <d v="2025-02-07T00:00:00"/>
    <x v="39"/>
    <x v="1"/>
    <x v="1"/>
    <x v="1"/>
    <s v="California"/>
    <x v="11"/>
    <x v="3"/>
    <x v="5"/>
    <x v="1"/>
  </r>
  <r>
    <x v="944"/>
    <x v="6"/>
    <x v="0"/>
    <n v="51.7"/>
    <x v="733"/>
    <d v="2025-02-07T00:00:00"/>
    <x v="47"/>
    <x v="1"/>
    <x v="2"/>
    <x v="0"/>
    <s v="California"/>
    <x v="19"/>
    <x v="12"/>
    <x v="5"/>
    <x v="1"/>
  </r>
  <r>
    <x v="945"/>
    <x v="8"/>
    <x v="38"/>
    <n v="45.5"/>
    <x v="820"/>
    <d v="2025-02-07T00:00:00"/>
    <x v="39"/>
    <x v="2"/>
    <x v="3"/>
    <x v="2"/>
    <s v="California"/>
    <x v="19"/>
    <x v="3"/>
    <x v="5"/>
    <x v="2"/>
  </r>
  <r>
    <x v="946"/>
    <x v="8"/>
    <x v="1"/>
    <n v="33.799999999999997"/>
    <x v="821"/>
    <d v="2025-02-07T00:00:00"/>
    <x v="45"/>
    <x v="2"/>
    <x v="3"/>
    <x v="0"/>
    <s v="California"/>
    <x v="20"/>
    <x v="4"/>
    <x v="5"/>
    <x v="2"/>
  </r>
  <r>
    <x v="947"/>
    <x v="3"/>
    <x v="2"/>
    <n v="76.5"/>
    <x v="822"/>
    <d v="2025-02-07T00:00:00"/>
    <x v="39"/>
    <x v="2"/>
    <x v="0"/>
    <x v="1"/>
    <s v="California"/>
    <x v="21"/>
    <x v="3"/>
    <x v="5"/>
    <x v="2"/>
  </r>
  <r>
    <x v="948"/>
    <x v="9"/>
    <x v="2"/>
    <n v="42.6"/>
    <x v="823"/>
    <d v="2025-02-07T00:00:00"/>
    <x v="45"/>
    <x v="2"/>
    <x v="2"/>
    <x v="2"/>
    <s v="California"/>
    <x v="2"/>
    <x v="4"/>
    <x v="5"/>
    <x v="2"/>
  </r>
  <r>
    <x v="949"/>
    <x v="6"/>
    <x v="2"/>
    <n v="44.1"/>
    <x v="431"/>
    <d v="2025-02-07T00:00:00"/>
    <x v="35"/>
    <x v="2"/>
    <x v="1"/>
    <x v="1"/>
    <s v="California"/>
    <x v="22"/>
    <x v="1"/>
    <x v="5"/>
    <x v="2"/>
  </r>
  <r>
    <x v="950"/>
    <x v="8"/>
    <x v="1"/>
    <n v="40.9"/>
    <x v="673"/>
    <d v="2025-02-07T00:00:00"/>
    <x v="40"/>
    <x v="1"/>
    <x v="0"/>
    <x v="0"/>
    <s v="California"/>
    <x v="3"/>
    <x v="5"/>
    <x v="5"/>
    <x v="1"/>
  </r>
  <r>
    <x v="951"/>
    <x v="9"/>
    <x v="2"/>
    <n v="49.1"/>
    <x v="824"/>
    <d v="2025-02-07T00:00:00"/>
    <x v="40"/>
    <x v="2"/>
    <x v="3"/>
    <x v="1"/>
    <s v="California"/>
    <x v="3"/>
    <x v="5"/>
    <x v="5"/>
    <x v="2"/>
  </r>
  <r>
    <x v="952"/>
    <x v="18"/>
    <x v="0"/>
    <n v="85.3"/>
    <x v="825"/>
    <d v="2025-02-07T00:00:00"/>
    <x v="40"/>
    <x v="1"/>
    <x v="1"/>
    <x v="1"/>
    <s v="California"/>
    <x v="3"/>
    <x v="5"/>
    <x v="5"/>
    <x v="1"/>
  </r>
  <r>
    <x v="953"/>
    <x v="6"/>
    <x v="12"/>
    <n v="43.1"/>
    <x v="826"/>
    <d v="2025-02-08T00:00:00"/>
    <x v="40"/>
    <x v="1"/>
    <x v="0"/>
    <x v="0"/>
    <s v="California"/>
    <x v="3"/>
    <x v="2"/>
    <x v="5"/>
    <x v="1"/>
  </r>
  <r>
    <x v="954"/>
    <x v="4"/>
    <x v="12"/>
    <n v="46.2"/>
    <x v="827"/>
    <d v="2025-02-08T00:00:00"/>
    <x v="35"/>
    <x v="1"/>
    <x v="2"/>
    <x v="0"/>
    <s v="California"/>
    <x v="3"/>
    <x v="3"/>
    <x v="5"/>
    <x v="1"/>
  </r>
  <r>
    <x v="955"/>
    <x v="1"/>
    <x v="0"/>
    <n v="74.400000000000006"/>
    <x v="610"/>
    <d v="2025-02-08T00:00:00"/>
    <x v="37"/>
    <x v="1"/>
    <x v="4"/>
    <x v="2"/>
    <s v="California"/>
    <x v="3"/>
    <x v="1"/>
    <x v="5"/>
    <x v="1"/>
  </r>
  <r>
    <x v="956"/>
    <x v="17"/>
    <x v="1"/>
    <n v="51.2"/>
    <x v="298"/>
    <d v="2025-02-08T00:00:00"/>
    <x v="35"/>
    <x v="1"/>
    <x v="1"/>
    <x v="0"/>
    <s v="California"/>
    <x v="3"/>
    <x v="3"/>
    <x v="5"/>
    <x v="1"/>
  </r>
  <r>
    <x v="957"/>
    <x v="14"/>
    <x v="12"/>
    <n v="11.8"/>
    <x v="828"/>
    <d v="2025-02-08T00:00:00"/>
    <x v="39"/>
    <x v="1"/>
    <x v="2"/>
    <x v="0"/>
    <s v="California"/>
    <x v="3"/>
    <x v="7"/>
    <x v="5"/>
    <x v="1"/>
  </r>
  <r>
    <x v="958"/>
    <x v="10"/>
    <x v="6"/>
    <n v="40.799999999999997"/>
    <x v="829"/>
    <d v="2025-02-08T00:00:00"/>
    <x v="35"/>
    <x v="2"/>
    <x v="3"/>
    <x v="2"/>
    <s v="California"/>
    <x v="3"/>
    <x v="3"/>
    <x v="5"/>
    <x v="2"/>
  </r>
  <r>
    <x v="959"/>
    <x v="8"/>
    <x v="0"/>
    <n v="24.7"/>
    <x v="830"/>
    <d v="2025-02-08T00:00:00"/>
    <x v="37"/>
    <x v="2"/>
    <x v="2"/>
    <x v="1"/>
    <s v="California"/>
    <x v="3"/>
    <x v="1"/>
    <x v="5"/>
    <x v="2"/>
  </r>
  <r>
    <x v="960"/>
    <x v="8"/>
    <x v="3"/>
    <n v="22.1"/>
    <x v="831"/>
    <d v="2025-02-08T00:00:00"/>
    <x v="39"/>
    <x v="2"/>
    <x v="2"/>
    <x v="4"/>
    <s v="California"/>
    <x v="3"/>
    <x v="7"/>
    <x v="5"/>
    <x v="2"/>
  </r>
  <r>
    <x v="961"/>
    <x v="8"/>
    <x v="0"/>
    <n v="18.100000000000001"/>
    <x v="832"/>
    <d v="2025-02-08T00:00:00"/>
    <x v="44"/>
    <x v="1"/>
    <x v="3"/>
    <x v="2"/>
    <s v="California"/>
    <x v="3"/>
    <x v="5"/>
    <x v="5"/>
    <x v="1"/>
  </r>
  <r>
    <x v="962"/>
    <x v="17"/>
    <x v="1"/>
    <n v="58.8"/>
    <x v="833"/>
    <d v="2025-02-08T00:00:00"/>
    <x v="40"/>
    <x v="2"/>
    <x v="0"/>
    <x v="0"/>
    <s v="California"/>
    <x v="25"/>
    <x v="2"/>
    <x v="5"/>
    <x v="2"/>
  </r>
  <r>
    <x v="963"/>
    <x v="18"/>
    <x v="1"/>
    <n v="30.8"/>
    <x v="834"/>
    <d v="2025-02-08T00:00:00"/>
    <x v="35"/>
    <x v="2"/>
    <x v="0"/>
    <x v="0"/>
    <s v="California"/>
    <x v="6"/>
    <x v="3"/>
    <x v="5"/>
    <x v="2"/>
  </r>
  <r>
    <x v="964"/>
    <x v="0"/>
    <x v="1"/>
    <n v="12"/>
    <x v="835"/>
    <d v="2025-02-08T00:00:00"/>
    <x v="44"/>
    <x v="2"/>
    <x v="0"/>
    <x v="0"/>
    <s v="California"/>
    <x v="6"/>
    <x v="5"/>
    <x v="5"/>
    <x v="2"/>
  </r>
  <r>
    <x v="965"/>
    <x v="0"/>
    <x v="12"/>
    <n v="13.6"/>
    <x v="630"/>
    <d v="2025-02-08T00:00:00"/>
    <x v="40"/>
    <x v="1"/>
    <x v="2"/>
    <x v="0"/>
    <s v="California"/>
    <x v="6"/>
    <x v="2"/>
    <x v="5"/>
    <x v="1"/>
  </r>
  <r>
    <x v="966"/>
    <x v="0"/>
    <x v="0"/>
    <n v="17.899999999999999"/>
    <x v="836"/>
    <d v="2025-02-08T00:00:00"/>
    <x v="35"/>
    <x v="1"/>
    <x v="3"/>
    <x v="0"/>
    <s v="California"/>
    <x v="6"/>
    <x v="3"/>
    <x v="5"/>
    <x v="1"/>
  </r>
  <r>
    <x v="967"/>
    <x v="9"/>
    <x v="1"/>
    <n v="38.6"/>
    <x v="837"/>
    <d v="2025-02-08T00:00:00"/>
    <x v="44"/>
    <x v="2"/>
    <x v="4"/>
    <x v="0"/>
    <s v="California"/>
    <x v="7"/>
    <x v="5"/>
    <x v="5"/>
    <x v="2"/>
  </r>
  <r>
    <x v="968"/>
    <x v="5"/>
    <x v="9"/>
    <n v="32.700000000000003"/>
    <x v="838"/>
    <d v="2025-02-08T00:00:00"/>
    <x v="35"/>
    <x v="1"/>
    <x v="2"/>
    <x v="2"/>
    <s v="California"/>
    <x v="8"/>
    <x v="3"/>
    <x v="5"/>
    <x v="1"/>
  </r>
  <r>
    <x v="969"/>
    <x v="3"/>
    <x v="1"/>
    <n v="111.4"/>
    <x v="839"/>
    <d v="2025-02-08T00:00:00"/>
    <x v="35"/>
    <x v="2"/>
    <x v="1"/>
    <x v="0"/>
    <s v="California"/>
    <x v="8"/>
    <x v="3"/>
    <x v="5"/>
    <x v="2"/>
  </r>
  <r>
    <x v="970"/>
    <x v="2"/>
    <x v="13"/>
    <n v="80.3"/>
    <x v="840"/>
    <d v="2025-02-08T00:00:00"/>
    <x v="37"/>
    <x v="2"/>
    <x v="1"/>
    <x v="0"/>
    <s v="California"/>
    <x v="8"/>
    <x v="1"/>
    <x v="5"/>
    <x v="2"/>
  </r>
  <r>
    <x v="971"/>
    <x v="6"/>
    <x v="1"/>
    <n v="58.9"/>
    <x v="841"/>
    <d v="2025-02-08T00:00:00"/>
    <x v="35"/>
    <x v="1"/>
    <x v="1"/>
    <x v="0"/>
    <s v="California"/>
    <x v="8"/>
    <x v="3"/>
    <x v="5"/>
    <x v="1"/>
  </r>
  <r>
    <x v="972"/>
    <x v="6"/>
    <x v="2"/>
    <n v="51.9"/>
    <x v="515"/>
    <d v="2025-02-08T00:00:00"/>
    <x v="37"/>
    <x v="2"/>
    <x v="1"/>
    <x v="4"/>
    <s v="California"/>
    <x v="8"/>
    <x v="1"/>
    <x v="5"/>
    <x v="2"/>
  </r>
  <r>
    <x v="973"/>
    <x v="2"/>
    <x v="2"/>
    <n v="50.3"/>
    <x v="842"/>
    <d v="2025-02-08T00:00:00"/>
    <x v="35"/>
    <x v="1"/>
    <x v="2"/>
    <x v="0"/>
    <s v="California"/>
    <x v="17"/>
    <x v="3"/>
    <x v="5"/>
    <x v="1"/>
  </r>
  <r>
    <x v="974"/>
    <x v="11"/>
    <x v="13"/>
    <n v="45"/>
    <x v="843"/>
    <d v="2025-02-08T00:00:00"/>
    <x v="42"/>
    <x v="2"/>
    <x v="3"/>
    <x v="0"/>
    <s v="California"/>
    <x v="9"/>
    <x v="4"/>
    <x v="5"/>
    <x v="2"/>
  </r>
  <r>
    <x v="975"/>
    <x v="10"/>
    <x v="13"/>
    <n v="44.7"/>
    <x v="844"/>
    <d v="2025-02-08T00:00:00"/>
    <x v="37"/>
    <x v="2"/>
    <x v="2"/>
    <x v="0"/>
    <s v="California"/>
    <x v="11"/>
    <x v="1"/>
    <x v="5"/>
    <x v="2"/>
  </r>
  <r>
    <x v="976"/>
    <x v="18"/>
    <x v="20"/>
    <n v="33"/>
    <x v="845"/>
    <d v="2025-02-08T00:00:00"/>
    <x v="35"/>
    <x v="2"/>
    <x v="2"/>
    <x v="0"/>
    <s v="California"/>
    <x v="11"/>
    <x v="3"/>
    <x v="5"/>
    <x v="2"/>
  </r>
  <r>
    <x v="977"/>
    <x v="1"/>
    <x v="9"/>
    <n v="44.9"/>
    <x v="846"/>
    <d v="2025-02-08T00:00:00"/>
    <x v="40"/>
    <x v="2"/>
    <x v="2"/>
    <x v="2"/>
    <s v="California"/>
    <x v="18"/>
    <x v="2"/>
    <x v="5"/>
    <x v="2"/>
  </r>
  <r>
    <x v="978"/>
    <x v="10"/>
    <x v="1"/>
    <n v="34.6"/>
    <x v="564"/>
    <d v="2025-02-08T00:00:00"/>
    <x v="44"/>
    <x v="2"/>
    <x v="0"/>
    <x v="1"/>
    <s v="California"/>
    <x v="19"/>
    <x v="5"/>
    <x v="5"/>
    <x v="2"/>
  </r>
  <r>
    <x v="979"/>
    <x v="7"/>
    <x v="3"/>
    <n v="47.1"/>
    <x v="847"/>
    <d v="2025-02-08T00:00:00"/>
    <x v="45"/>
    <x v="2"/>
    <x v="0"/>
    <x v="0"/>
    <s v="California"/>
    <x v="13"/>
    <x v="0"/>
    <x v="5"/>
    <x v="2"/>
  </r>
  <r>
    <x v="980"/>
    <x v="4"/>
    <x v="9"/>
    <n v="26.1"/>
    <x v="848"/>
    <d v="2025-02-08T00:00:00"/>
    <x v="45"/>
    <x v="1"/>
    <x v="0"/>
    <x v="2"/>
    <s v="California"/>
    <x v="21"/>
    <x v="0"/>
    <x v="5"/>
    <x v="1"/>
  </r>
  <r>
    <x v="981"/>
    <x v="12"/>
    <x v="9"/>
    <n v="66.8"/>
    <x v="849"/>
    <d v="2025-02-08T00:00:00"/>
    <x v="40"/>
    <x v="2"/>
    <x v="0"/>
    <x v="0"/>
    <s v="California"/>
    <x v="21"/>
    <x v="2"/>
    <x v="5"/>
    <x v="2"/>
  </r>
  <r>
    <x v="982"/>
    <x v="2"/>
    <x v="1"/>
    <n v="167.9"/>
    <x v="850"/>
    <d v="2025-02-08T00:00:00"/>
    <x v="35"/>
    <x v="2"/>
    <x v="3"/>
    <x v="2"/>
    <s v="California"/>
    <x v="21"/>
    <x v="3"/>
    <x v="5"/>
    <x v="2"/>
  </r>
  <r>
    <x v="983"/>
    <x v="10"/>
    <x v="11"/>
    <n v="34.6"/>
    <x v="851"/>
    <d v="2025-02-08T00:00:00"/>
    <x v="35"/>
    <x v="2"/>
    <x v="2"/>
    <x v="1"/>
    <s v="California"/>
    <x v="21"/>
    <x v="3"/>
    <x v="5"/>
    <x v="2"/>
  </r>
  <r>
    <x v="984"/>
    <x v="8"/>
    <x v="2"/>
    <n v="35.1"/>
    <x v="852"/>
    <d v="2025-02-09T00:00:00"/>
    <x v="45"/>
    <x v="1"/>
    <x v="4"/>
    <x v="2"/>
    <s v="California"/>
    <x v="1"/>
    <x v="5"/>
    <x v="6"/>
    <x v="1"/>
  </r>
  <r>
    <x v="985"/>
    <x v="6"/>
    <x v="12"/>
    <n v="104.5"/>
    <x v="378"/>
    <d v="2025-02-09T00:00:00"/>
    <x v="37"/>
    <x v="1"/>
    <x v="1"/>
    <x v="1"/>
    <s v="California"/>
    <x v="1"/>
    <x v="3"/>
    <x v="6"/>
    <x v="1"/>
  </r>
  <r>
    <x v="986"/>
    <x v="8"/>
    <x v="0"/>
    <n v="37.9"/>
    <x v="853"/>
    <d v="2025-02-09T00:00:00"/>
    <x v="40"/>
    <x v="0"/>
    <x v="1"/>
    <x v="2"/>
    <s v="California"/>
    <x v="2"/>
    <x v="1"/>
    <x v="6"/>
    <x v="0"/>
  </r>
  <r>
    <x v="987"/>
    <x v="4"/>
    <x v="2"/>
    <n v="25.5"/>
    <x v="514"/>
    <d v="2025-02-09T00:00:00"/>
    <x v="44"/>
    <x v="1"/>
    <x v="3"/>
    <x v="0"/>
    <s v="California"/>
    <x v="2"/>
    <x v="2"/>
    <x v="6"/>
    <x v="1"/>
  </r>
  <r>
    <x v="988"/>
    <x v="0"/>
    <x v="2"/>
    <n v="32"/>
    <x v="854"/>
    <d v="2025-02-09T00:00:00"/>
    <x v="45"/>
    <x v="2"/>
    <x v="1"/>
    <x v="0"/>
    <s v="California"/>
    <x v="22"/>
    <x v="5"/>
    <x v="6"/>
    <x v="2"/>
  </r>
  <r>
    <x v="989"/>
    <x v="1"/>
    <x v="0"/>
    <n v="47.1"/>
    <x v="392"/>
    <d v="2025-02-09T00:00:00"/>
    <x v="37"/>
    <x v="2"/>
    <x v="0"/>
    <x v="0"/>
    <s v="California"/>
    <x v="34"/>
    <x v="3"/>
    <x v="6"/>
    <x v="2"/>
  </r>
  <r>
    <x v="990"/>
    <x v="6"/>
    <x v="1"/>
    <n v="50.6"/>
    <x v="855"/>
    <d v="2025-02-09T00:00:00"/>
    <x v="48"/>
    <x v="0"/>
    <x v="0"/>
    <x v="0"/>
    <s v="California"/>
    <x v="3"/>
    <x v="4"/>
    <x v="6"/>
    <x v="0"/>
  </r>
  <r>
    <x v="991"/>
    <x v="6"/>
    <x v="9"/>
    <n v="81.7"/>
    <x v="856"/>
    <d v="2025-02-09T00:00:00"/>
    <x v="37"/>
    <x v="2"/>
    <x v="1"/>
    <x v="2"/>
    <s v="California"/>
    <x v="3"/>
    <x v="3"/>
    <x v="6"/>
    <x v="2"/>
  </r>
  <r>
    <x v="992"/>
    <x v="5"/>
    <x v="1"/>
    <n v="50.7"/>
    <x v="857"/>
    <d v="2025-02-09T00:00:00"/>
    <x v="37"/>
    <x v="3"/>
    <x v="2"/>
    <x v="2"/>
    <s v="California"/>
    <x v="3"/>
    <x v="3"/>
    <x v="6"/>
    <x v="3"/>
  </r>
  <r>
    <x v="993"/>
    <x v="2"/>
    <x v="10"/>
    <n v="67.3"/>
    <x v="858"/>
    <d v="2025-02-09T00:00:00"/>
    <x v="45"/>
    <x v="2"/>
    <x v="2"/>
    <x v="0"/>
    <s v="California"/>
    <x v="3"/>
    <x v="5"/>
    <x v="6"/>
    <x v="2"/>
  </r>
  <r>
    <x v="994"/>
    <x v="2"/>
    <x v="12"/>
    <n v="64.8"/>
    <x v="629"/>
    <d v="2025-02-09T00:00:00"/>
    <x v="44"/>
    <x v="2"/>
    <x v="3"/>
    <x v="0"/>
    <s v="California"/>
    <x v="3"/>
    <x v="2"/>
    <x v="6"/>
    <x v="2"/>
  </r>
  <r>
    <x v="995"/>
    <x v="5"/>
    <x v="32"/>
    <n v="61.3"/>
    <x v="859"/>
    <d v="2025-02-09T00:00:00"/>
    <x v="37"/>
    <x v="2"/>
    <x v="0"/>
    <x v="2"/>
    <s v="California"/>
    <x v="3"/>
    <x v="3"/>
    <x v="6"/>
    <x v="2"/>
  </r>
  <r>
    <x v="996"/>
    <x v="14"/>
    <x v="0"/>
    <n v="32.9"/>
    <x v="860"/>
    <d v="2025-02-09T00:00:00"/>
    <x v="44"/>
    <x v="2"/>
    <x v="4"/>
    <x v="0"/>
    <s v="California"/>
    <x v="3"/>
    <x v="2"/>
    <x v="6"/>
    <x v="2"/>
  </r>
  <r>
    <x v="997"/>
    <x v="6"/>
    <x v="1"/>
    <n v="100.8"/>
    <x v="861"/>
    <d v="2025-02-09T00:00:00"/>
    <x v="44"/>
    <x v="2"/>
    <x v="0"/>
    <x v="0"/>
    <s v="California"/>
    <x v="3"/>
    <x v="2"/>
    <x v="6"/>
    <x v="2"/>
  </r>
  <r>
    <x v="998"/>
    <x v="8"/>
    <x v="12"/>
    <n v="25.1"/>
    <x v="862"/>
    <d v="2025-02-09T00:00:00"/>
    <x v="40"/>
    <x v="2"/>
    <x v="1"/>
    <x v="0"/>
    <s v="California"/>
    <x v="3"/>
    <x v="1"/>
    <x v="6"/>
    <x v="2"/>
  </r>
  <r>
    <x v="999"/>
    <x v="17"/>
    <x v="0"/>
    <n v="48.5"/>
    <x v="319"/>
    <d v="2025-02-09T00:00:00"/>
    <x v="37"/>
    <x v="2"/>
    <x v="0"/>
    <x v="1"/>
    <s v="California"/>
    <x v="3"/>
    <x v="3"/>
    <x v="6"/>
    <x v="2"/>
  </r>
  <r>
    <x v="1000"/>
    <x v="7"/>
    <x v="1"/>
    <n v="33.6"/>
    <x v="863"/>
    <d v="2025-02-09T00:00:00"/>
    <x v="45"/>
    <x v="2"/>
    <x v="2"/>
    <x v="2"/>
    <s v="California"/>
    <x v="3"/>
    <x v="5"/>
    <x v="6"/>
    <x v="2"/>
  </r>
  <r>
    <x v="1001"/>
    <x v="8"/>
    <x v="0"/>
    <n v="39.299999999999997"/>
    <x v="864"/>
    <d v="2025-02-09T00:00:00"/>
    <x v="49"/>
    <x v="2"/>
    <x v="1"/>
    <x v="1"/>
    <s v="California"/>
    <x v="49"/>
    <x v="11"/>
    <x v="6"/>
    <x v="2"/>
  </r>
  <r>
    <x v="1002"/>
    <x v="4"/>
    <x v="7"/>
    <n v="48.8"/>
    <x v="865"/>
    <d v="2025-02-09T00:00:00"/>
    <x v="40"/>
    <x v="2"/>
    <x v="3"/>
    <x v="1"/>
    <s v="California"/>
    <x v="25"/>
    <x v="1"/>
    <x v="6"/>
    <x v="2"/>
  </r>
  <r>
    <x v="1003"/>
    <x v="6"/>
    <x v="8"/>
    <n v="72.8"/>
    <x v="866"/>
    <d v="2025-02-09T00:00:00"/>
    <x v="40"/>
    <x v="1"/>
    <x v="1"/>
    <x v="2"/>
    <s v="California"/>
    <x v="5"/>
    <x v="1"/>
    <x v="6"/>
    <x v="1"/>
  </r>
  <r>
    <x v="1004"/>
    <x v="10"/>
    <x v="8"/>
    <n v="46.2"/>
    <x v="867"/>
    <d v="2025-02-09T00:00:00"/>
    <x v="37"/>
    <x v="1"/>
    <x v="3"/>
    <x v="4"/>
    <s v="California"/>
    <x v="5"/>
    <x v="3"/>
    <x v="6"/>
    <x v="1"/>
  </r>
  <r>
    <x v="1005"/>
    <x v="4"/>
    <x v="1"/>
    <n v="20.7"/>
    <x v="50"/>
    <d v="2025-02-09T00:00:00"/>
    <x v="37"/>
    <x v="2"/>
    <x v="2"/>
    <x v="3"/>
    <s v="California"/>
    <x v="6"/>
    <x v="3"/>
    <x v="6"/>
    <x v="2"/>
  </r>
  <r>
    <x v="1006"/>
    <x v="0"/>
    <x v="0"/>
    <n v="35.700000000000003"/>
    <x v="519"/>
    <d v="2025-02-09T00:00:00"/>
    <x v="40"/>
    <x v="2"/>
    <x v="3"/>
    <x v="0"/>
    <s v="California"/>
    <x v="6"/>
    <x v="1"/>
    <x v="6"/>
    <x v="2"/>
  </r>
  <r>
    <x v="1007"/>
    <x v="2"/>
    <x v="27"/>
    <n v="166.2"/>
    <x v="868"/>
    <d v="2025-02-09T00:00:00"/>
    <x v="40"/>
    <x v="0"/>
    <x v="2"/>
    <x v="0"/>
    <s v="California"/>
    <x v="7"/>
    <x v="1"/>
    <x v="6"/>
    <x v="0"/>
  </r>
  <r>
    <x v="1008"/>
    <x v="6"/>
    <x v="12"/>
    <n v="85.8"/>
    <x v="869"/>
    <d v="2025-02-09T00:00:00"/>
    <x v="37"/>
    <x v="2"/>
    <x v="1"/>
    <x v="1"/>
    <s v="California"/>
    <x v="7"/>
    <x v="3"/>
    <x v="6"/>
    <x v="2"/>
  </r>
  <r>
    <x v="1009"/>
    <x v="8"/>
    <x v="2"/>
    <n v="26"/>
    <x v="292"/>
    <d v="2025-02-09T00:00:00"/>
    <x v="40"/>
    <x v="3"/>
    <x v="1"/>
    <x v="0"/>
    <s v="California"/>
    <x v="7"/>
    <x v="1"/>
    <x v="6"/>
    <x v="3"/>
  </r>
  <r>
    <x v="1010"/>
    <x v="2"/>
    <x v="15"/>
    <n v="116.6"/>
    <x v="870"/>
    <d v="2025-02-09T00:00:00"/>
    <x v="44"/>
    <x v="2"/>
    <x v="0"/>
    <x v="0"/>
    <s v="California"/>
    <x v="8"/>
    <x v="2"/>
    <x v="6"/>
    <x v="2"/>
  </r>
  <r>
    <x v="1011"/>
    <x v="9"/>
    <x v="3"/>
    <n v="53.9"/>
    <x v="871"/>
    <d v="2025-02-09T00:00:00"/>
    <x v="44"/>
    <x v="3"/>
    <x v="0"/>
    <x v="2"/>
    <s v="California"/>
    <x v="8"/>
    <x v="2"/>
    <x v="6"/>
    <x v="3"/>
  </r>
  <r>
    <x v="1012"/>
    <x v="12"/>
    <x v="9"/>
    <n v="72.3"/>
    <x v="785"/>
    <d v="2025-02-09T00:00:00"/>
    <x v="40"/>
    <x v="0"/>
    <x v="2"/>
    <x v="2"/>
    <s v="California"/>
    <x v="8"/>
    <x v="1"/>
    <x v="6"/>
    <x v="0"/>
  </r>
  <r>
    <x v="1013"/>
    <x v="5"/>
    <x v="1"/>
    <n v="31.4"/>
    <x v="143"/>
    <d v="2025-02-09T00:00:00"/>
    <x v="40"/>
    <x v="2"/>
    <x v="0"/>
    <x v="0"/>
    <s v="California"/>
    <x v="8"/>
    <x v="1"/>
    <x v="6"/>
    <x v="2"/>
  </r>
  <r>
    <x v="1014"/>
    <x v="13"/>
    <x v="1"/>
    <n v="53.1"/>
    <x v="872"/>
    <d v="2025-02-09T00:00:00"/>
    <x v="44"/>
    <x v="1"/>
    <x v="1"/>
    <x v="0"/>
    <s v="California"/>
    <x v="8"/>
    <x v="2"/>
    <x v="6"/>
    <x v="1"/>
  </r>
  <r>
    <x v="1015"/>
    <x v="2"/>
    <x v="12"/>
    <n v="56.2"/>
    <x v="873"/>
    <d v="2025-02-09T00:00:00"/>
    <x v="37"/>
    <x v="2"/>
    <x v="0"/>
    <x v="0"/>
    <s v="California"/>
    <x v="8"/>
    <x v="3"/>
    <x v="6"/>
    <x v="2"/>
  </r>
  <r>
    <x v="1016"/>
    <x v="1"/>
    <x v="7"/>
    <n v="77.3"/>
    <x v="874"/>
    <d v="2025-02-09T00:00:00"/>
    <x v="37"/>
    <x v="2"/>
    <x v="2"/>
    <x v="0"/>
    <s v="California"/>
    <x v="11"/>
    <x v="3"/>
    <x v="6"/>
    <x v="2"/>
  </r>
  <r>
    <x v="1017"/>
    <x v="6"/>
    <x v="15"/>
    <n v="57.8"/>
    <x v="875"/>
    <d v="2025-02-09T00:00:00"/>
    <x v="37"/>
    <x v="0"/>
    <x v="0"/>
    <x v="0"/>
    <s v="California"/>
    <x v="53"/>
    <x v="3"/>
    <x v="6"/>
    <x v="0"/>
  </r>
  <r>
    <x v="1018"/>
    <x v="12"/>
    <x v="20"/>
    <n v="42.1"/>
    <x v="876"/>
    <d v="2025-02-09T00:00:00"/>
    <x v="40"/>
    <x v="2"/>
    <x v="1"/>
    <x v="1"/>
    <s v="California"/>
    <x v="53"/>
    <x v="1"/>
    <x v="6"/>
    <x v="2"/>
  </r>
  <r>
    <x v="1019"/>
    <x v="8"/>
    <x v="11"/>
    <n v="22.8"/>
    <x v="877"/>
    <d v="2025-02-09T00:00:00"/>
    <x v="45"/>
    <x v="1"/>
    <x v="2"/>
    <x v="2"/>
    <s v="California"/>
    <x v="19"/>
    <x v="5"/>
    <x v="6"/>
    <x v="1"/>
  </r>
  <r>
    <x v="1020"/>
    <x v="2"/>
    <x v="2"/>
    <n v="171.1"/>
    <x v="878"/>
    <d v="2025-02-10T00:00:00"/>
    <x v="43"/>
    <x v="2"/>
    <x v="2"/>
    <x v="1"/>
    <s v="California"/>
    <x v="19"/>
    <x v="6"/>
    <x v="6"/>
    <x v="2"/>
  </r>
  <r>
    <x v="1021"/>
    <x v="8"/>
    <x v="0"/>
    <n v="28"/>
    <x v="879"/>
    <d v="2025-02-10T00:00:00"/>
    <x v="44"/>
    <x v="1"/>
    <x v="2"/>
    <x v="2"/>
    <s v="California"/>
    <x v="21"/>
    <x v="1"/>
    <x v="6"/>
    <x v="1"/>
  </r>
  <r>
    <x v="1022"/>
    <x v="6"/>
    <x v="3"/>
    <n v="50.2"/>
    <x v="880"/>
    <d v="2025-02-10T00:00:00"/>
    <x v="44"/>
    <x v="1"/>
    <x v="2"/>
    <x v="0"/>
    <s v="California"/>
    <x v="21"/>
    <x v="1"/>
    <x v="6"/>
    <x v="1"/>
  </r>
  <r>
    <x v="1023"/>
    <x v="6"/>
    <x v="1"/>
    <n v="56"/>
    <x v="881"/>
    <d v="2025-02-10T00:00:00"/>
    <x v="37"/>
    <x v="1"/>
    <x v="0"/>
    <x v="2"/>
    <s v="California"/>
    <x v="22"/>
    <x v="7"/>
    <x v="6"/>
    <x v="1"/>
  </r>
  <r>
    <x v="1024"/>
    <x v="1"/>
    <x v="1"/>
    <n v="38.299999999999997"/>
    <x v="882"/>
    <d v="2025-02-10T00:00:00"/>
    <x v="40"/>
    <x v="2"/>
    <x v="1"/>
    <x v="0"/>
    <s v="California"/>
    <x v="3"/>
    <x v="3"/>
    <x v="6"/>
    <x v="2"/>
  </r>
  <r>
    <x v="1025"/>
    <x v="0"/>
    <x v="9"/>
    <n v="22.3"/>
    <x v="883"/>
    <d v="2025-02-10T00:00:00"/>
    <x v="42"/>
    <x v="2"/>
    <x v="2"/>
    <x v="1"/>
    <s v="California"/>
    <x v="3"/>
    <x v="5"/>
    <x v="6"/>
    <x v="2"/>
  </r>
  <r>
    <x v="1026"/>
    <x v="0"/>
    <x v="2"/>
    <n v="22.3"/>
    <x v="884"/>
    <d v="2025-02-10T00:00:00"/>
    <x v="45"/>
    <x v="2"/>
    <x v="2"/>
    <x v="0"/>
    <s v="California"/>
    <x v="3"/>
    <x v="2"/>
    <x v="6"/>
    <x v="2"/>
  </r>
  <r>
    <x v="1027"/>
    <x v="1"/>
    <x v="0"/>
    <n v="32.9"/>
    <x v="860"/>
    <d v="2025-02-10T00:00:00"/>
    <x v="48"/>
    <x v="2"/>
    <x v="0"/>
    <x v="0"/>
    <s v="California"/>
    <x v="3"/>
    <x v="0"/>
    <x v="6"/>
    <x v="2"/>
  </r>
  <r>
    <x v="1028"/>
    <x v="10"/>
    <x v="2"/>
    <n v="31.9"/>
    <x v="802"/>
    <d v="2025-02-10T00:00:00"/>
    <x v="48"/>
    <x v="2"/>
    <x v="0"/>
    <x v="0"/>
    <s v="California"/>
    <x v="3"/>
    <x v="0"/>
    <x v="6"/>
    <x v="2"/>
  </r>
  <r>
    <x v="1029"/>
    <x v="6"/>
    <x v="1"/>
    <n v="94"/>
    <x v="885"/>
    <d v="2025-02-10T00:00:00"/>
    <x v="40"/>
    <x v="1"/>
    <x v="2"/>
    <x v="2"/>
    <s v="California"/>
    <x v="3"/>
    <x v="3"/>
    <x v="6"/>
    <x v="1"/>
  </r>
  <r>
    <x v="1030"/>
    <x v="10"/>
    <x v="1"/>
    <n v="30.7"/>
    <x v="886"/>
    <d v="2025-02-10T00:00:00"/>
    <x v="40"/>
    <x v="2"/>
    <x v="0"/>
    <x v="1"/>
    <s v="California"/>
    <x v="3"/>
    <x v="3"/>
    <x v="6"/>
    <x v="2"/>
  </r>
  <r>
    <x v="1031"/>
    <x v="5"/>
    <x v="9"/>
    <n v="90.5"/>
    <x v="887"/>
    <d v="2025-02-10T00:00:00"/>
    <x v="43"/>
    <x v="1"/>
    <x v="0"/>
    <x v="2"/>
    <s v="California"/>
    <x v="3"/>
    <x v="6"/>
    <x v="6"/>
    <x v="1"/>
  </r>
  <r>
    <x v="1032"/>
    <x v="8"/>
    <x v="9"/>
    <n v="25.3"/>
    <x v="888"/>
    <d v="2025-02-10T00:00:00"/>
    <x v="42"/>
    <x v="2"/>
    <x v="0"/>
    <x v="2"/>
    <s v="California"/>
    <x v="3"/>
    <x v="5"/>
    <x v="6"/>
    <x v="2"/>
  </r>
  <r>
    <x v="1033"/>
    <x v="6"/>
    <x v="2"/>
    <n v="58.1"/>
    <x v="889"/>
    <d v="2025-02-10T00:00:00"/>
    <x v="42"/>
    <x v="0"/>
    <x v="0"/>
    <x v="2"/>
    <s v="California"/>
    <x v="3"/>
    <x v="5"/>
    <x v="6"/>
    <x v="0"/>
  </r>
  <r>
    <x v="1034"/>
    <x v="2"/>
    <x v="2"/>
    <n v="74.900000000000006"/>
    <x v="890"/>
    <d v="2025-02-10T00:00:00"/>
    <x v="40"/>
    <x v="2"/>
    <x v="4"/>
    <x v="0"/>
    <s v="California"/>
    <x v="3"/>
    <x v="3"/>
    <x v="6"/>
    <x v="2"/>
  </r>
  <r>
    <x v="1035"/>
    <x v="4"/>
    <x v="1"/>
    <n v="32.5"/>
    <x v="891"/>
    <d v="2025-02-10T00:00:00"/>
    <x v="40"/>
    <x v="1"/>
    <x v="2"/>
    <x v="2"/>
    <s v="California"/>
    <x v="43"/>
    <x v="3"/>
    <x v="6"/>
    <x v="1"/>
  </r>
  <r>
    <x v="1036"/>
    <x v="4"/>
    <x v="9"/>
    <n v="62"/>
    <x v="892"/>
    <d v="2025-02-10T00:00:00"/>
    <x v="40"/>
    <x v="1"/>
    <x v="4"/>
    <x v="2"/>
    <s v="California"/>
    <x v="25"/>
    <x v="3"/>
    <x v="6"/>
    <x v="1"/>
  </r>
  <r>
    <x v="1037"/>
    <x v="13"/>
    <x v="13"/>
    <n v="28.9"/>
    <x v="893"/>
    <d v="2025-02-10T00:00:00"/>
    <x v="45"/>
    <x v="2"/>
    <x v="0"/>
    <x v="1"/>
    <s v="California"/>
    <x v="6"/>
    <x v="2"/>
    <x v="6"/>
    <x v="2"/>
  </r>
  <r>
    <x v="1038"/>
    <x v="6"/>
    <x v="8"/>
    <n v="42.8"/>
    <x v="894"/>
    <d v="2025-02-10T00:00:00"/>
    <x v="44"/>
    <x v="2"/>
    <x v="0"/>
    <x v="2"/>
    <s v="California"/>
    <x v="6"/>
    <x v="1"/>
    <x v="6"/>
    <x v="2"/>
  </r>
  <r>
    <x v="1039"/>
    <x v="8"/>
    <x v="8"/>
    <n v="39.4"/>
    <x v="895"/>
    <d v="2025-02-10T00:00:00"/>
    <x v="44"/>
    <x v="1"/>
    <x v="0"/>
    <x v="0"/>
    <s v="California"/>
    <x v="36"/>
    <x v="1"/>
    <x v="6"/>
    <x v="1"/>
  </r>
  <r>
    <x v="1040"/>
    <x v="18"/>
    <x v="2"/>
    <n v="66.400000000000006"/>
    <x v="896"/>
    <d v="2025-02-10T00:00:00"/>
    <x v="40"/>
    <x v="0"/>
    <x v="2"/>
    <x v="1"/>
    <s v="California"/>
    <x v="7"/>
    <x v="3"/>
    <x v="6"/>
    <x v="0"/>
  </r>
  <r>
    <x v="1041"/>
    <x v="17"/>
    <x v="12"/>
    <n v="35.9"/>
    <x v="897"/>
    <d v="2025-02-10T00:00:00"/>
    <x v="43"/>
    <x v="2"/>
    <x v="1"/>
    <x v="0"/>
    <s v="California"/>
    <x v="7"/>
    <x v="6"/>
    <x v="6"/>
    <x v="2"/>
  </r>
  <r>
    <x v="1042"/>
    <x v="0"/>
    <x v="12"/>
    <n v="26.9"/>
    <x v="799"/>
    <d v="2025-02-10T00:00:00"/>
    <x v="40"/>
    <x v="1"/>
    <x v="1"/>
    <x v="0"/>
    <s v="California"/>
    <x v="7"/>
    <x v="3"/>
    <x v="6"/>
    <x v="1"/>
  </r>
  <r>
    <x v="1043"/>
    <x v="2"/>
    <x v="0"/>
    <n v="55.1"/>
    <x v="898"/>
    <d v="2025-02-10T00:00:00"/>
    <x v="40"/>
    <x v="2"/>
    <x v="0"/>
    <x v="0"/>
    <s v="California"/>
    <x v="7"/>
    <x v="3"/>
    <x v="6"/>
    <x v="2"/>
  </r>
  <r>
    <x v="1044"/>
    <x v="4"/>
    <x v="1"/>
    <n v="23.9"/>
    <x v="538"/>
    <d v="2025-02-10T00:00:00"/>
    <x v="40"/>
    <x v="1"/>
    <x v="0"/>
    <x v="2"/>
    <s v="California"/>
    <x v="8"/>
    <x v="3"/>
    <x v="6"/>
    <x v="1"/>
  </r>
  <r>
    <x v="1045"/>
    <x v="9"/>
    <x v="15"/>
    <n v="21.1"/>
    <x v="899"/>
    <d v="2025-02-10T00:00:00"/>
    <x v="50"/>
    <x v="2"/>
    <x v="0"/>
    <x v="1"/>
    <s v="California"/>
    <x v="8"/>
    <x v="9"/>
    <x v="6"/>
    <x v="2"/>
  </r>
  <r>
    <x v="1046"/>
    <x v="8"/>
    <x v="9"/>
    <n v="33.799999999999997"/>
    <x v="900"/>
    <d v="2025-02-10T00:00:00"/>
    <x v="44"/>
    <x v="2"/>
    <x v="0"/>
    <x v="0"/>
    <s v="California"/>
    <x v="8"/>
    <x v="1"/>
    <x v="6"/>
    <x v="2"/>
  </r>
  <r>
    <x v="1047"/>
    <x v="2"/>
    <x v="12"/>
    <n v="56.1"/>
    <x v="901"/>
    <d v="2025-02-10T00:00:00"/>
    <x v="37"/>
    <x v="2"/>
    <x v="3"/>
    <x v="2"/>
    <s v="California"/>
    <x v="9"/>
    <x v="7"/>
    <x v="6"/>
    <x v="2"/>
  </r>
  <r>
    <x v="1048"/>
    <x v="3"/>
    <x v="0"/>
    <n v="58.5"/>
    <x v="902"/>
    <d v="2025-02-11T00:00:00"/>
    <x v="48"/>
    <x v="2"/>
    <x v="1"/>
    <x v="2"/>
    <s v="California"/>
    <x v="9"/>
    <x v="5"/>
    <x v="6"/>
    <x v="2"/>
  </r>
  <r>
    <x v="1049"/>
    <x v="6"/>
    <x v="0"/>
    <n v="84.2"/>
    <x v="903"/>
    <d v="2025-02-11T00:00:00"/>
    <x v="45"/>
    <x v="1"/>
    <x v="3"/>
    <x v="0"/>
    <s v="California"/>
    <x v="11"/>
    <x v="1"/>
    <x v="6"/>
    <x v="1"/>
  </r>
  <r>
    <x v="1050"/>
    <x v="11"/>
    <x v="12"/>
    <n v="52"/>
    <x v="904"/>
    <d v="2025-02-11T00:00:00"/>
    <x v="42"/>
    <x v="1"/>
    <x v="0"/>
    <x v="0"/>
    <s v="California"/>
    <x v="11"/>
    <x v="2"/>
    <x v="6"/>
    <x v="1"/>
  </r>
  <r>
    <x v="1051"/>
    <x v="4"/>
    <x v="9"/>
    <n v="31.5"/>
    <x v="905"/>
    <d v="2025-02-11T00:00:00"/>
    <x v="44"/>
    <x v="2"/>
    <x v="0"/>
    <x v="2"/>
    <s v="California"/>
    <x v="11"/>
    <x v="3"/>
    <x v="6"/>
    <x v="2"/>
  </r>
  <r>
    <x v="1052"/>
    <x v="16"/>
    <x v="2"/>
    <n v="46.2"/>
    <x v="209"/>
    <d v="2025-02-11T00:00:00"/>
    <x v="44"/>
    <x v="1"/>
    <x v="0"/>
    <x v="0"/>
    <s v="California"/>
    <x v="53"/>
    <x v="3"/>
    <x v="6"/>
    <x v="1"/>
  </r>
  <r>
    <x v="1053"/>
    <x v="2"/>
    <x v="13"/>
    <n v="135"/>
    <x v="906"/>
    <d v="2025-02-11T00:00:00"/>
    <x v="44"/>
    <x v="2"/>
    <x v="1"/>
    <x v="2"/>
    <s v="California"/>
    <x v="18"/>
    <x v="3"/>
    <x v="6"/>
    <x v="2"/>
  </r>
  <r>
    <x v="1054"/>
    <x v="12"/>
    <x v="2"/>
    <n v="92.2"/>
    <x v="907"/>
    <d v="2025-02-11T00:00:00"/>
    <x v="48"/>
    <x v="1"/>
    <x v="0"/>
    <x v="0"/>
    <s v="California"/>
    <x v="21"/>
    <x v="5"/>
    <x v="6"/>
    <x v="1"/>
  </r>
  <r>
    <x v="1055"/>
    <x v="8"/>
    <x v="0"/>
    <n v="36.6"/>
    <x v="547"/>
    <d v="2025-02-11T00:00:00"/>
    <x v="45"/>
    <x v="1"/>
    <x v="2"/>
    <x v="2"/>
    <s v="California"/>
    <x v="21"/>
    <x v="1"/>
    <x v="6"/>
    <x v="1"/>
  </r>
  <r>
    <x v="1056"/>
    <x v="9"/>
    <x v="1"/>
    <n v="50.6"/>
    <x v="855"/>
    <d v="2025-02-11T00:00:00"/>
    <x v="42"/>
    <x v="2"/>
    <x v="0"/>
    <x v="0"/>
    <s v="California"/>
    <x v="2"/>
    <x v="2"/>
    <x v="6"/>
    <x v="2"/>
  </r>
  <r>
    <x v="1057"/>
    <x v="18"/>
    <x v="3"/>
    <n v="56.7"/>
    <x v="908"/>
    <d v="2025-02-11T00:00:00"/>
    <x v="42"/>
    <x v="2"/>
    <x v="0"/>
    <x v="0"/>
    <s v="California"/>
    <x v="2"/>
    <x v="2"/>
    <x v="6"/>
    <x v="2"/>
  </r>
  <r>
    <x v="1058"/>
    <x v="9"/>
    <x v="15"/>
    <n v="22.9"/>
    <x v="909"/>
    <d v="2025-02-11T00:00:00"/>
    <x v="44"/>
    <x v="2"/>
    <x v="0"/>
    <x v="1"/>
    <s v="California"/>
    <x v="44"/>
    <x v="3"/>
    <x v="6"/>
    <x v="2"/>
  </r>
  <r>
    <x v="1059"/>
    <x v="15"/>
    <x v="10"/>
    <n v="53.6"/>
    <x v="910"/>
    <d v="2025-02-11T00:00:00"/>
    <x v="44"/>
    <x v="1"/>
    <x v="0"/>
    <x v="0"/>
    <s v="California"/>
    <x v="22"/>
    <x v="3"/>
    <x v="6"/>
    <x v="1"/>
  </r>
  <r>
    <x v="1060"/>
    <x v="18"/>
    <x v="1"/>
    <n v="30.2"/>
    <x v="266"/>
    <d v="2025-02-11T00:00:00"/>
    <x v="45"/>
    <x v="0"/>
    <x v="2"/>
    <x v="2"/>
    <s v="California"/>
    <x v="3"/>
    <x v="1"/>
    <x v="6"/>
    <x v="0"/>
  </r>
  <r>
    <x v="1061"/>
    <x v="15"/>
    <x v="13"/>
    <n v="83.4"/>
    <x v="911"/>
    <d v="2025-02-11T00:00:00"/>
    <x v="44"/>
    <x v="1"/>
    <x v="1"/>
    <x v="2"/>
    <s v="California"/>
    <x v="3"/>
    <x v="3"/>
    <x v="6"/>
    <x v="1"/>
  </r>
  <r>
    <x v="1062"/>
    <x v="13"/>
    <x v="4"/>
    <n v="16.600000000000001"/>
    <x v="896"/>
    <d v="2025-02-11T00:00:00"/>
    <x v="45"/>
    <x v="1"/>
    <x v="1"/>
    <x v="0"/>
    <s v="California"/>
    <x v="3"/>
    <x v="1"/>
    <x v="6"/>
    <x v="1"/>
  </r>
  <r>
    <x v="1063"/>
    <x v="8"/>
    <x v="14"/>
    <n v="21.9"/>
    <x v="912"/>
    <d v="2025-02-11T00:00:00"/>
    <x v="45"/>
    <x v="2"/>
    <x v="4"/>
    <x v="1"/>
    <s v="California"/>
    <x v="3"/>
    <x v="1"/>
    <x v="6"/>
    <x v="2"/>
  </r>
  <r>
    <x v="1064"/>
    <x v="8"/>
    <x v="31"/>
    <n v="33.799999999999997"/>
    <x v="913"/>
    <d v="2025-02-11T00:00:00"/>
    <x v="45"/>
    <x v="1"/>
    <x v="2"/>
    <x v="4"/>
    <s v="California"/>
    <x v="3"/>
    <x v="1"/>
    <x v="6"/>
    <x v="1"/>
  </r>
  <r>
    <x v="1065"/>
    <x v="18"/>
    <x v="1"/>
    <n v="53.2"/>
    <x v="793"/>
    <d v="2025-02-11T00:00:00"/>
    <x v="40"/>
    <x v="1"/>
    <x v="1"/>
    <x v="0"/>
    <s v="California"/>
    <x v="3"/>
    <x v="7"/>
    <x v="6"/>
    <x v="1"/>
  </r>
  <r>
    <x v="1066"/>
    <x v="2"/>
    <x v="1"/>
    <n v="176.7"/>
    <x v="914"/>
    <d v="2025-02-11T00:00:00"/>
    <x v="42"/>
    <x v="2"/>
    <x v="2"/>
    <x v="0"/>
    <s v="California"/>
    <x v="3"/>
    <x v="2"/>
    <x v="6"/>
    <x v="2"/>
  </r>
  <r>
    <x v="1067"/>
    <x v="12"/>
    <x v="2"/>
    <n v="54"/>
    <x v="915"/>
    <d v="2025-02-11T00:00:00"/>
    <x v="42"/>
    <x v="1"/>
    <x v="0"/>
    <x v="1"/>
    <s v="California"/>
    <x v="3"/>
    <x v="2"/>
    <x v="6"/>
    <x v="1"/>
  </r>
  <r>
    <x v="1068"/>
    <x v="9"/>
    <x v="1"/>
    <n v="70.099999999999994"/>
    <x v="634"/>
    <d v="2025-02-11T00:00:00"/>
    <x v="46"/>
    <x v="2"/>
    <x v="3"/>
    <x v="2"/>
    <s v="California"/>
    <x v="3"/>
    <x v="9"/>
    <x v="6"/>
    <x v="2"/>
  </r>
  <r>
    <x v="1069"/>
    <x v="8"/>
    <x v="0"/>
    <n v="26.5"/>
    <x v="38"/>
    <d v="2025-02-11T00:00:00"/>
    <x v="45"/>
    <x v="2"/>
    <x v="1"/>
    <x v="0"/>
    <s v="California"/>
    <x v="3"/>
    <x v="1"/>
    <x v="6"/>
    <x v="2"/>
  </r>
  <r>
    <x v="1070"/>
    <x v="7"/>
    <x v="9"/>
    <n v="89"/>
    <x v="916"/>
    <d v="2025-02-11T00:00:00"/>
    <x v="45"/>
    <x v="1"/>
    <x v="2"/>
    <x v="4"/>
    <s v="California"/>
    <x v="3"/>
    <x v="1"/>
    <x v="6"/>
    <x v="1"/>
  </r>
  <r>
    <x v="1071"/>
    <x v="1"/>
    <x v="13"/>
    <n v="47"/>
    <x v="917"/>
    <d v="2025-02-11T00:00:00"/>
    <x v="42"/>
    <x v="2"/>
    <x v="3"/>
    <x v="0"/>
    <s v="California"/>
    <x v="24"/>
    <x v="2"/>
    <x v="6"/>
    <x v="2"/>
  </r>
  <r>
    <x v="1072"/>
    <x v="3"/>
    <x v="1"/>
    <n v="55.2"/>
    <x v="918"/>
    <d v="2025-02-11T00:00:00"/>
    <x v="42"/>
    <x v="1"/>
    <x v="1"/>
    <x v="1"/>
    <s v="California"/>
    <x v="6"/>
    <x v="2"/>
    <x v="6"/>
    <x v="1"/>
  </r>
  <r>
    <x v="1073"/>
    <x v="8"/>
    <x v="39"/>
    <n v="33.299999999999997"/>
    <x v="919"/>
    <d v="2025-02-11T00:00:00"/>
    <x v="51"/>
    <x v="1"/>
    <x v="1"/>
    <x v="2"/>
    <s v="California"/>
    <x v="6"/>
    <x v="12"/>
    <x v="6"/>
    <x v="1"/>
  </r>
  <r>
    <x v="1074"/>
    <x v="2"/>
    <x v="12"/>
    <n v="110.9"/>
    <x v="920"/>
    <d v="2025-02-12T00:00:00"/>
    <x v="44"/>
    <x v="1"/>
    <x v="2"/>
    <x v="4"/>
    <s v="California"/>
    <x v="6"/>
    <x v="7"/>
    <x v="6"/>
    <x v="1"/>
  </r>
  <r>
    <x v="1075"/>
    <x v="2"/>
    <x v="13"/>
    <n v="67.3"/>
    <x v="921"/>
    <d v="2025-02-12T00:00:00"/>
    <x v="45"/>
    <x v="1"/>
    <x v="0"/>
    <x v="0"/>
    <s v="California"/>
    <x v="8"/>
    <x v="3"/>
    <x v="6"/>
    <x v="1"/>
  </r>
  <r>
    <x v="1076"/>
    <x v="6"/>
    <x v="2"/>
    <n v="69.7"/>
    <x v="922"/>
    <d v="2025-02-12T00:00:00"/>
    <x v="45"/>
    <x v="1"/>
    <x v="2"/>
    <x v="1"/>
    <s v="California"/>
    <x v="8"/>
    <x v="3"/>
    <x v="6"/>
    <x v="1"/>
  </r>
  <r>
    <x v="1077"/>
    <x v="5"/>
    <x v="0"/>
    <n v="39.1"/>
    <x v="923"/>
    <d v="2025-02-12T00:00:00"/>
    <x v="43"/>
    <x v="1"/>
    <x v="0"/>
    <x v="1"/>
    <s v="California"/>
    <x v="17"/>
    <x v="0"/>
    <x v="6"/>
    <x v="1"/>
  </r>
  <r>
    <x v="1078"/>
    <x v="2"/>
    <x v="2"/>
    <n v="208.6"/>
    <x v="924"/>
    <d v="2025-02-12T00:00:00"/>
    <x v="44"/>
    <x v="1"/>
    <x v="4"/>
    <x v="2"/>
    <s v="California"/>
    <x v="17"/>
    <x v="7"/>
    <x v="6"/>
    <x v="1"/>
  </r>
  <r>
    <x v="1079"/>
    <x v="15"/>
    <x v="2"/>
    <n v="27.8"/>
    <x v="925"/>
    <d v="2025-02-12T00:00:00"/>
    <x v="45"/>
    <x v="1"/>
    <x v="3"/>
    <x v="1"/>
    <s v="California"/>
    <x v="11"/>
    <x v="3"/>
    <x v="6"/>
    <x v="1"/>
  </r>
  <r>
    <x v="1080"/>
    <x v="10"/>
    <x v="9"/>
    <n v="29.4"/>
    <x v="926"/>
    <d v="2025-02-12T00:00:00"/>
    <x v="42"/>
    <x v="2"/>
    <x v="0"/>
    <x v="0"/>
    <s v="California"/>
    <x v="11"/>
    <x v="1"/>
    <x v="6"/>
    <x v="2"/>
  </r>
  <r>
    <x v="1081"/>
    <x v="9"/>
    <x v="1"/>
    <n v="29.2"/>
    <x v="305"/>
    <d v="2025-02-12T00:00:00"/>
    <x v="42"/>
    <x v="2"/>
    <x v="1"/>
    <x v="2"/>
    <s v="California"/>
    <x v="20"/>
    <x v="1"/>
    <x v="6"/>
    <x v="2"/>
  </r>
  <r>
    <x v="1082"/>
    <x v="10"/>
    <x v="9"/>
    <n v="26.5"/>
    <x v="927"/>
    <d v="2025-02-12T00:00:00"/>
    <x v="42"/>
    <x v="2"/>
    <x v="0"/>
    <x v="0"/>
    <s v="California"/>
    <x v="52"/>
    <x v="1"/>
    <x v="6"/>
    <x v="2"/>
  </r>
  <r>
    <x v="1083"/>
    <x v="5"/>
    <x v="0"/>
    <n v="30.3"/>
    <x v="928"/>
    <d v="2025-02-12T00:00:00"/>
    <x v="45"/>
    <x v="2"/>
    <x v="4"/>
    <x v="1"/>
    <s v="California"/>
    <x v="13"/>
    <x v="3"/>
    <x v="6"/>
    <x v="2"/>
  </r>
  <r>
    <x v="1084"/>
    <x v="16"/>
    <x v="4"/>
    <n v="39.700000000000003"/>
    <x v="929"/>
    <d v="2025-02-12T00:00:00"/>
    <x v="45"/>
    <x v="2"/>
    <x v="0"/>
    <x v="0"/>
    <s v="California"/>
    <x v="21"/>
    <x v="3"/>
    <x v="6"/>
    <x v="2"/>
  </r>
  <r>
    <x v="1085"/>
    <x v="7"/>
    <x v="7"/>
    <n v="58.9"/>
    <x v="930"/>
    <d v="2025-02-12T00:00:00"/>
    <x v="42"/>
    <x v="2"/>
    <x v="1"/>
    <x v="4"/>
    <s v="California"/>
    <x v="21"/>
    <x v="1"/>
    <x v="6"/>
    <x v="2"/>
  </r>
  <r>
    <x v="1086"/>
    <x v="2"/>
    <x v="1"/>
    <n v="174.1"/>
    <x v="931"/>
    <d v="2025-02-12T00:00:00"/>
    <x v="42"/>
    <x v="2"/>
    <x v="0"/>
    <x v="1"/>
    <s v="California"/>
    <x v="46"/>
    <x v="1"/>
    <x v="6"/>
    <x v="2"/>
  </r>
  <r>
    <x v="1087"/>
    <x v="6"/>
    <x v="1"/>
    <n v="70.8"/>
    <x v="932"/>
    <d v="2025-02-12T00:00:00"/>
    <x v="48"/>
    <x v="1"/>
    <x v="2"/>
    <x v="0"/>
    <s v="California"/>
    <x v="22"/>
    <x v="2"/>
    <x v="6"/>
    <x v="1"/>
  </r>
  <r>
    <x v="1088"/>
    <x v="7"/>
    <x v="1"/>
    <n v="57.4"/>
    <x v="311"/>
    <d v="2025-02-12T00:00:00"/>
    <x v="42"/>
    <x v="2"/>
    <x v="1"/>
    <x v="1"/>
    <s v="California"/>
    <x v="34"/>
    <x v="1"/>
    <x v="6"/>
    <x v="2"/>
  </r>
  <r>
    <x v="1089"/>
    <x v="0"/>
    <x v="1"/>
    <n v="28.5"/>
    <x v="933"/>
    <d v="2025-02-12T00:00:00"/>
    <x v="42"/>
    <x v="1"/>
    <x v="3"/>
    <x v="1"/>
    <s v="California"/>
    <x v="3"/>
    <x v="1"/>
    <x v="6"/>
    <x v="1"/>
  </r>
  <r>
    <x v="1090"/>
    <x v="2"/>
    <x v="28"/>
    <n v="106.6"/>
    <x v="934"/>
    <d v="2025-02-12T00:00:00"/>
    <x v="45"/>
    <x v="0"/>
    <x v="1"/>
    <x v="4"/>
    <s v="California"/>
    <x v="3"/>
    <x v="3"/>
    <x v="6"/>
    <x v="0"/>
  </r>
  <r>
    <x v="1091"/>
    <x v="2"/>
    <x v="2"/>
    <n v="119.7"/>
    <x v="935"/>
    <d v="2025-02-12T00:00:00"/>
    <x v="45"/>
    <x v="2"/>
    <x v="1"/>
    <x v="4"/>
    <s v="California"/>
    <x v="3"/>
    <x v="3"/>
    <x v="6"/>
    <x v="2"/>
  </r>
  <r>
    <x v="1092"/>
    <x v="18"/>
    <x v="0"/>
    <n v="73.3"/>
    <x v="936"/>
    <d v="2025-02-12T00:00:00"/>
    <x v="43"/>
    <x v="2"/>
    <x v="0"/>
    <x v="2"/>
    <s v="California"/>
    <x v="3"/>
    <x v="0"/>
    <x v="6"/>
    <x v="2"/>
  </r>
  <r>
    <x v="1093"/>
    <x v="0"/>
    <x v="1"/>
    <n v="25.8"/>
    <x v="937"/>
    <d v="2025-02-12T00:00:00"/>
    <x v="52"/>
    <x v="1"/>
    <x v="2"/>
    <x v="0"/>
    <s v="California"/>
    <x v="3"/>
    <x v="12"/>
    <x v="6"/>
    <x v="1"/>
  </r>
  <r>
    <x v="1094"/>
    <x v="17"/>
    <x v="2"/>
    <n v="49.1"/>
    <x v="824"/>
    <d v="2025-02-12T00:00:00"/>
    <x v="42"/>
    <x v="2"/>
    <x v="0"/>
    <x v="0"/>
    <s v="California"/>
    <x v="24"/>
    <x v="1"/>
    <x v="6"/>
    <x v="2"/>
  </r>
  <r>
    <x v="1095"/>
    <x v="1"/>
    <x v="0"/>
    <n v="44.9"/>
    <x v="938"/>
    <d v="2025-02-12T00:00:00"/>
    <x v="48"/>
    <x v="2"/>
    <x v="3"/>
    <x v="2"/>
    <s v="California"/>
    <x v="6"/>
    <x v="2"/>
    <x v="6"/>
    <x v="2"/>
  </r>
  <r>
    <x v="1096"/>
    <x v="15"/>
    <x v="3"/>
    <n v="29.9"/>
    <x v="549"/>
    <d v="2025-02-12T00:00:00"/>
    <x v="45"/>
    <x v="2"/>
    <x v="0"/>
    <x v="0"/>
    <s v="California"/>
    <x v="6"/>
    <x v="3"/>
    <x v="6"/>
    <x v="2"/>
  </r>
  <r>
    <x v="1097"/>
    <x v="7"/>
    <x v="1"/>
    <n v="54.3"/>
    <x v="939"/>
    <d v="2025-02-13T00:00:00"/>
    <x v="42"/>
    <x v="1"/>
    <x v="3"/>
    <x v="0"/>
    <s v="California"/>
    <x v="36"/>
    <x v="3"/>
    <x v="6"/>
    <x v="1"/>
  </r>
  <r>
    <x v="1098"/>
    <x v="9"/>
    <x v="12"/>
    <n v="57"/>
    <x v="416"/>
    <d v="2025-02-13T00:00:00"/>
    <x v="48"/>
    <x v="2"/>
    <x v="0"/>
    <x v="0"/>
    <s v="California"/>
    <x v="8"/>
    <x v="1"/>
    <x v="6"/>
    <x v="2"/>
  </r>
  <r>
    <x v="1099"/>
    <x v="2"/>
    <x v="0"/>
    <n v="139.19999999999999"/>
    <x v="388"/>
    <d v="2025-02-13T00:00:00"/>
    <x v="42"/>
    <x v="2"/>
    <x v="3"/>
    <x v="2"/>
    <s v="California"/>
    <x v="8"/>
    <x v="3"/>
    <x v="6"/>
    <x v="2"/>
  </r>
  <r>
    <x v="1100"/>
    <x v="10"/>
    <x v="0"/>
    <n v="33"/>
    <x v="940"/>
    <d v="2025-02-13T00:00:00"/>
    <x v="41"/>
    <x v="2"/>
    <x v="0"/>
    <x v="2"/>
    <s v="California"/>
    <x v="8"/>
    <x v="2"/>
    <x v="6"/>
    <x v="2"/>
  </r>
  <r>
    <x v="1101"/>
    <x v="11"/>
    <x v="13"/>
    <n v="80.2"/>
    <x v="941"/>
    <d v="2025-02-13T00:00:00"/>
    <x v="48"/>
    <x v="1"/>
    <x v="1"/>
    <x v="4"/>
    <s v="California"/>
    <x v="8"/>
    <x v="1"/>
    <x v="6"/>
    <x v="1"/>
  </r>
  <r>
    <x v="1102"/>
    <x v="18"/>
    <x v="8"/>
    <n v="49"/>
    <x v="942"/>
    <d v="2025-02-13T00:00:00"/>
    <x v="42"/>
    <x v="0"/>
    <x v="2"/>
    <x v="1"/>
    <s v="California"/>
    <x v="9"/>
    <x v="3"/>
    <x v="6"/>
    <x v="0"/>
  </r>
  <r>
    <x v="1103"/>
    <x v="1"/>
    <x v="12"/>
    <n v="104.4"/>
    <x v="943"/>
    <d v="2025-02-13T00:00:00"/>
    <x v="45"/>
    <x v="2"/>
    <x v="0"/>
    <x v="0"/>
    <s v="California"/>
    <x v="9"/>
    <x v="7"/>
    <x v="6"/>
    <x v="2"/>
  </r>
  <r>
    <x v="1104"/>
    <x v="3"/>
    <x v="0"/>
    <n v="41.6"/>
    <x v="480"/>
    <d v="2025-02-13T00:00:00"/>
    <x v="41"/>
    <x v="1"/>
    <x v="3"/>
    <x v="0"/>
    <s v="California"/>
    <x v="11"/>
    <x v="2"/>
    <x v="6"/>
    <x v="1"/>
  </r>
  <r>
    <x v="1105"/>
    <x v="19"/>
    <x v="1"/>
    <n v="16.399999999999999"/>
    <x v="944"/>
    <d v="2025-02-13T00:00:00"/>
    <x v="42"/>
    <x v="3"/>
    <x v="0"/>
    <x v="2"/>
    <s v="California"/>
    <x v="11"/>
    <x v="3"/>
    <x v="6"/>
    <x v="3"/>
  </r>
  <r>
    <x v="1106"/>
    <x v="8"/>
    <x v="1"/>
    <n v="22"/>
    <x v="945"/>
    <d v="2025-02-13T00:00:00"/>
    <x v="42"/>
    <x v="1"/>
    <x v="2"/>
    <x v="2"/>
    <s v="California"/>
    <x v="53"/>
    <x v="3"/>
    <x v="6"/>
    <x v="1"/>
  </r>
  <r>
    <x v="1107"/>
    <x v="15"/>
    <x v="1"/>
    <n v="33.6"/>
    <x v="863"/>
    <d v="2025-02-13T00:00:00"/>
    <x v="50"/>
    <x v="2"/>
    <x v="0"/>
    <x v="0"/>
    <s v="California"/>
    <x v="21"/>
    <x v="0"/>
    <x v="6"/>
    <x v="2"/>
  </r>
  <r>
    <x v="1108"/>
    <x v="11"/>
    <x v="13"/>
    <n v="43"/>
    <x v="946"/>
    <d v="2025-02-13T00:00:00"/>
    <x v="42"/>
    <x v="2"/>
    <x v="2"/>
    <x v="0"/>
    <s v="California"/>
    <x v="21"/>
    <x v="3"/>
    <x v="6"/>
    <x v="2"/>
  </r>
  <r>
    <x v="1109"/>
    <x v="6"/>
    <x v="9"/>
    <n v="108.8"/>
    <x v="947"/>
    <d v="2025-02-13T00:00:00"/>
    <x v="41"/>
    <x v="2"/>
    <x v="4"/>
    <x v="2"/>
    <s v="California"/>
    <x v="21"/>
    <x v="2"/>
    <x v="6"/>
    <x v="2"/>
  </r>
  <r>
    <x v="1110"/>
    <x v="0"/>
    <x v="11"/>
    <n v="29.3"/>
    <x v="948"/>
    <d v="2025-02-13T00:00:00"/>
    <x v="48"/>
    <x v="1"/>
    <x v="4"/>
    <x v="2"/>
    <s v="California"/>
    <x v="21"/>
    <x v="1"/>
    <x v="6"/>
    <x v="1"/>
  </r>
  <r>
    <x v="1111"/>
    <x v="2"/>
    <x v="0"/>
    <n v="122.7"/>
    <x v="949"/>
    <d v="2025-02-13T00:00:00"/>
    <x v="41"/>
    <x v="3"/>
    <x v="0"/>
    <x v="2"/>
    <s v="California"/>
    <x v="1"/>
    <x v="2"/>
    <x v="6"/>
    <x v="3"/>
  </r>
  <r>
    <x v="1112"/>
    <x v="4"/>
    <x v="3"/>
    <n v="22.9"/>
    <x v="950"/>
    <d v="2025-02-13T00:00:00"/>
    <x v="42"/>
    <x v="2"/>
    <x v="0"/>
    <x v="0"/>
    <s v="California"/>
    <x v="42"/>
    <x v="3"/>
    <x v="6"/>
    <x v="2"/>
  </r>
  <r>
    <x v="1113"/>
    <x v="8"/>
    <x v="7"/>
    <n v="25.5"/>
    <x v="951"/>
    <d v="2025-02-13T00:00:00"/>
    <x v="49"/>
    <x v="2"/>
    <x v="0"/>
    <x v="0"/>
    <s v="California"/>
    <x v="33"/>
    <x v="6"/>
    <x v="6"/>
    <x v="2"/>
  </r>
  <r>
    <x v="1114"/>
    <x v="17"/>
    <x v="2"/>
    <n v="23.4"/>
    <x v="952"/>
    <d v="2025-02-13T00:00:00"/>
    <x v="43"/>
    <x v="2"/>
    <x v="0"/>
    <x v="2"/>
    <s v="California"/>
    <x v="3"/>
    <x v="5"/>
    <x v="6"/>
    <x v="2"/>
  </r>
  <r>
    <x v="1115"/>
    <x v="5"/>
    <x v="8"/>
    <n v="27.4"/>
    <x v="77"/>
    <d v="2025-02-13T00:00:00"/>
    <x v="41"/>
    <x v="2"/>
    <x v="2"/>
    <x v="0"/>
    <s v="California"/>
    <x v="3"/>
    <x v="2"/>
    <x v="6"/>
    <x v="2"/>
  </r>
  <r>
    <x v="1116"/>
    <x v="5"/>
    <x v="9"/>
    <n v="68.400000000000006"/>
    <x v="953"/>
    <d v="2025-02-13T00:00:00"/>
    <x v="42"/>
    <x v="2"/>
    <x v="0"/>
    <x v="0"/>
    <s v="California"/>
    <x v="3"/>
    <x v="3"/>
    <x v="6"/>
    <x v="2"/>
  </r>
  <r>
    <x v="1117"/>
    <x v="6"/>
    <x v="0"/>
    <n v="51.9"/>
    <x v="954"/>
    <d v="2025-02-13T00:00:00"/>
    <x v="45"/>
    <x v="2"/>
    <x v="0"/>
    <x v="0"/>
    <s v="California"/>
    <x v="3"/>
    <x v="7"/>
    <x v="6"/>
    <x v="2"/>
  </r>
  <r>
    <x v="1118"/>
    <x v="0"/>
    <x v="9"/>
    <n v="26.4"/>
    <x v="955"/>
    <d v="2025-02-13T00:00:00"/>
    <x v="41"/>
    <x v="2"/>
    <x v="0"/>
    <x v="2"/>
    <s v="California"/>
    <x v="3"/>
    <x v="2"/>
    <x v="6"/>
    <x v="2"/>
  </r>
  <r>
    <x v="1119"/>
    <x v="12"/>
    <x v="1"/>
    <n v="117"/>
    <x v="540"/>
    <d v="2025-02-13T00:00:00"/>
    <x v="42"/>
    <x v="2"/>
    <x v="1"/>
    <x v="1"/>
    <s v="California"/>
    <x v="3"/>
    <x v="3"/>
    <x v="6"/>
    <x v="2"/>
  </r>
  <r>
    <x v="1120"/>
    <x v="7"/>
    <x v="2"/>
    <n v="49.6"/>
    <x v="956"/>
    <d v="2025-02-14T00:00:00"/>
    <x v="41"/>
    <x v="2"/>
    <x v="0"/>
    <x v="0"/>
    <s v="California"/>
    <x v="3"/>
    <x v="1"/>
    <x v="6"/>
    <x v="2"/>
  </r>
  <r>
    <x v="1121"/>
    <x v="4"/>
    <x v="2"/>
    <n v="38"/>
    <x v="717"/>
    <d v="2025-02-14T00:00:00"/>
    <x v="43"/>
    <x v="1"/>
    <x v="2"/>
    <x v="4"/>
    <s v="California"/>
    <x v="3"/>
    <x v="2"/>
    <x v="6"/>
    <x v="1"/>
  </r>
  <r>
    <x v="1122"/>
    <x v="0"/>
    <x v="2"/>
    <n v="20.6"/>
    <x v="957"/>
    <d v="2025-02-14T00:00:00"/>
    <x v="41"/>
    <x v="2"/>
    <x v="4"/>
    <x v="2"/>
    <s v="California"/>
    <x v="3"/>
    <x v="1"/>
    <x v="6"/>
    <x v="2"/>
  </r>
  <r>
    <x v="1123"/>
    <x v="0"/>
    <x v="1"/>
    <n v="16"/>
    <x v="109"/>
    <d v="2025-02-14T00:00:00"/>
    <x v="48"/>
    <x v="1"/>
    <x v="1"/>
    <x v="1"/>
    <s v="California"/>
    <x v="49"/>
    <x v="3"/>
    <x v="6"/>
    <x v="1"/>
  </r>
  <r>
    <x v="1124"/>
    <x v="15"/>
    <x v="12"/>
    <n v="49.3"/>
    <x v="958"/>
    <d v="2025-02-14T00:00:00"/>
    <x v="48"/>
    <x v="2"/>
    <x v="2"/>
    <x v="0"/>
    <s v="California"/>
    <x v="23"/>
    <x v="3"/>
    <x v="6"/>
    <x v="2"/>
  </r>
  <r>
    <x v="1125"/>
    <x v="9"/>
    <x v="1"/>
    <n v="24.1"/>
    <x v="959"/>
    <d v="2025-02-14T00:00:00"/>
    <x v="50"/>
    <x v="2"/>
    <x v="0"/>
    <x v="0"/>
    <s v="California"/>
    <x v="6"/>
    <x v="5"/>
    <x v="6"/>
    <x v="2"/>
  </r>
  <r>
    <x v="1126"/>
    <x v="15"/>
    <x v="8"/>
    <n v="32.700000000000003"/>
    <x v="960"/>
    <d v="2025-02-14T00:00:00"/>
    <x v="48"/>
    <x v="2"/>
    <x v="1"/>
    <x v="0"/>
    <s v="California"/>
    <x v="6"/>
    <x v="3"/>
    <x v="6"/>
    <x v="2"/>
  </r>
  <r>
    <x v="1127"/>
    <x v="6"/>
    <x v="2"/>
    <n v="74.400000000000006"/>
    <x v="961"/>
    <d v="2025-02-14T00:00:00"/>
    <x v="48"/>
    <x v="2"/>
    <x v="3"/>
    <x v="2"/>
    <s v="California"/>
    <x v="8"/>
    <x v="3"/>
    <x v="6"/>
    <x v="2"/>
  </r>
  <r>
    <x v="1128"/>
    <x v="12"/>
    <x v="0"/>
    <n v="45.6"/>
    <x v="962"/>
    <d v="2025-02-14T00:00:00"/>
    <x v="50"/>
    <x v="2"/>
    <x v="4"/>
    <x v="0"/>
    <s v="California"/>
    <x v="8"/>
    <x v="5"/>
    <x v="6"/>
    <x v="2"/>
  </r>
  <r>
    <x v="1129"/>
    <x v="8"/>
    <x v="8"/>
    <n v="19.600000000000001"/>
    <x v="963"/>
    <d v="2025-02-14T00:00:00"/>
    <x v="53"/>
    <x v="2"/>
    <x v="0"/>
    <x v="0"/>
    <s v="California"/>
    <x v="8"/>
    <x v="10"/>
    <x v="6"/>
    <x v="2"/>
  </r>
  <r>
    <x v="1130"/>
    <x v="9"/>
    <x v="0"/>
    <n v="51.8"/>
    <x v="964"/>
    <d v="2025-02-14T00:00:00"/>
    <x v="48"/>
    <x v="2"/>
    <x v="1"/>
    <x v="0"/>
    <s v="California"/>
    <x v="8"/>
    <x v="3"/>
    <x v="6"/>
    <x v="2"/>
  </r>
  <r>
    <x v="1131"/>
    <x v="6"/>
    <x v="0"/>
    <n v="74.7"/>
    <x v="965"/>
    <d v="2025-02-14T00:00:00"/>
    <x v="48"/>
    <x v="1"/>
    <x v="0"/>
    <x v="1"/>
    <s v="California"/>
    <x v="8"/>
    <x v="3"/>
    <x v="6"/>
    <x v="1"/>
  </r>
  <r>
    <x v="1132"/>
    <x v="19"/>
    <x v="2"/>
    <n v="22.4"/>
    <x v="966"/>
    <d v="2025-02-14T00:00:00"/>
    <x v="48"/>
    <x v="2"/>
    <x v="1"/>
    <x v="2"/>
    <s v="California"/>
    <x v="9"/>
    <x v="3"/>
    <x v="6"/>
    <x v="2"/>
  </r>
  <r>
    <x v="1133"/>
    <x v="1"/>
    <x v="12"/>
    <n v="31.4"/>
    <x v="967"/>
    <d v="2025-02-14T00:00:00"/>
    <x v="48"/>
    <x v="2"/>
    <x v="1"/>
    <x v="0"/>
    <s v="California"/>
    <x v="9"/>
    <x v="3"/>
    <x v="6"/>
    <x v="2"/>
  </r>
  <r>
    <x v="1134"/>
    <x v="6"/>
    <x v="0"/>
    <n v="94"/>
    <x v="255"/>
    <d v="2025-02-14T00:00:00"/>
    <x v="42"/>
    <x v="2"/>
    <x v="1"/>
    <x v="2"/>
    <s v="California"/>
    <x v="10"/>
    <x v="7"/>
    <x v="6"/>
    <x v="2"/>
  </r>
  <r>
    <x v="1135"/>
    <x v="10"/>
    <x v="0"/>
    <n v="22.3"/>
    <x v="968"/>
    <d v="2025-02-14T00:00:00"/>
    <x v="48"/>
    <x v="1"/>
    <x v="4"/>
    <x v="0"/>
    <s v="California"/>
    <x v="20"/>
    <x v="3"/>
    <x v="6"/>
    <x v="1"/>
  </r>
  <r>
    <x v="1136"/>
    <x v="0"/>
    <x v="0"/>
    <n v="21.9"/>
    <x v="731"/>
    <d v="2025-02-14T00:00:00"/>
    <x v="43"/>
    <x v="2"/>
    <x v="2"/>
    <x v="0"/>
    <s v="California"/>
    <x v="21"/>
    <x v="2"/>
    <x v="6"/>
    <x v="2"/>
  </r>
  <r>
    <x v="1137"/>
    <x v="17"/>
    <x v="2"/>
    <n v="27"/>
    <x v="969"/>
    <d v="2025-02-14T00:00:00"/>
    <x v="41"/>
    <x v="2"/>
    <x v="4"/>
    <x v="2"/>
    <s v="California"/>
    <x v="2"/>
    <x v="1"/>
    <x v="6"/>
    <x v="2"/>
  </r>
  <r>
    <x v="1138"/>
    <x v="2"/>
    <x v="12"/>
    <n v="149.6"/>
    <x v="970"/>
    <d v="2025-02-14T00:00:00"/>
    <x v="42"/>
    <x v="2"/>
    <x v="4"/>
    <x v="0"/>
    <s v="California"/>
    <x v="22"/>
    <x v="7"/>
    <x v="6"/>
    <x v="2"/>
  </r>
  <r>
    <x v="1139"/>
    <x v="2"/>
    <x v="12"/>
    <n v="129.1"/>
    <x v="971"/>
    <d v="2025-02-14T00:00:00"/>
    <x v="54"/>
    <x v="1"/>
    <x v="0"/>
    <x v="1"/>
    <s v="California"/>
    <x v="3"/>
    <x v="14"/>
    <x v="6"/>
    <x v="1"/>
  </r>
  <r>
    <x v="1140"/>
    <x v="1"/>
    <x v="4"/>
    <n v="40.4"/>
    <x v="972"/>
    <d v="2025-02-14T00:00:00"/>
    <x v="48"/>
    <x v="1"/>
    <x v="1"/>
    <x v="1"/>
    <s v="California"/>
    <x v="3"/>
    <x v="3"/>
    <x v="6"/>
    <x v="1"/>
  </r>
  <r>
    <x v="1141"/>
    <x v="4"/>
    <x v="2"/>
    <n v="48.5"/>
    <x v="973"/>
    <d v="2025-02-14T00:00:00"/>
    <x v="41"/>
    <x v="2"/>
    <x v="0"/>
    <x v="4"/>
    <s v="California"/>
    <x v="3"/>
    <x v="1"/>
    <x v="6"/>
    <x v="2"/>
  </r>
  <r>
    <x v="1142"/>
    <x v="9"/>
    <x v="1"/>
    <n v="37.6"/>
    <x v="495"/>
    <d v="2025-02-14T00:00:00"/>
    <x v="41"/>
    <x v="2"/>
    <x v="1"/>
    <x v="2"/>
    <s v="California"/>
    <x v="3"/>
    <x v="1"/>
    <x v="6"/>
    <x v="2"/>
  </r>
  <r>
    <x v="1143"/>
    <x v="8"/>
    <x v="1"/>
    <n v="19.600000000000001"/>
    <x v="496"/>
    <d v="2025-02-14T00:00:00"/>
    <x v="48"/>
    <x v="1"/>
    <x v="3"/>
    <x v="4"/>
    <s v="California"/>
    <x v="43"/>
    <x v="3"/>
    <x v="6"/>
    <x v="1"/>
  </r>
  <r>
    <x v="1144"/>
    <x v="8"/>
    <x v="9"/>
    <n v="18.5"/>
    <x v="974"/>
    <d v="2025-02-14T00:00:00"/>
    <x v="48"/>
    <x v="2"/>
    <x v="2"/>
    <x v="1"/>
    <s v="California"/>
    <x v="6"/>
    <x v="3"/>
    <x v="6"/>
    <x v="2"/>
  </r>
  <r>
    <x v="1145"/>
    <x v="5"/>
    <x v="2"/>
    <n v="25.5"/>
    <x v="514"/>
    <d v="2025-02-14T00:00:00"/>
    <x v="41"/>
    <x v="2"/>
    <x v="4"/>
    <x v="1"/>
    <s v="California"/>
    <x v="6"/>
    <x v="1"/>
    <x v="6"/>
    <x v="2"/>
  </r>
  <r>
    <x v="1146"/>
    <x v="2"/>
    <x v="1"/>
    <n v="94.7"/>
    <x v="975"/>
    <d v="2025-02-14T00:00:00"/>
    <x v="48"/>
    <x v="2"/>
    <x v="2"/>
    <x v="0"/>
    <s v="California"/>
    <x v="36"/>
    <x v="3"/>
    <x v="6"/>
    <x v="2"/>
  </r>
  <r>
    <x v="1147"/>
    <x v="1"/>
    <x v="13"/>
    <n v="38.799999999999997"/>
    <x v="976"/>
    <d v="2025-02-14T00:00:00"/>
    <x v="46"/>
    <x v="2"/>
    <x v="2"/>
    <x v="2"/>
    <s v="California"/>
    <x v="8"/>
    <x v="0"/>
    <x v="6"/>
    <x v="2"/>
  </r>
  <r>
    <x v="1148"/>
    <x v="9"/>
    <x v="1"/>
    <n v="49.4"/>
    <x v="197"/>
    <d v="2025-02-15T00:00:00"/>
    <x v="55"/>
    <x v="1"/>
    <x v="4"/>
    <x v="1"/>
    <s v="California"/>
    <x v="8"/>
    <x v="9"/>
    <x v="6"/>
    <x v="1"/>
  </r>
  <r>
    <x v="1149"/>
    <x v="7"/>
    <x v="2"/>
    <n v="68"/>
    <x v="977"/>
    <d v="2025-02-15T00:00:00"/>
    <x v="50"/>
    <x v="1"/>
    <x v="0"/>
    <x v="2"/>
    <s v="California"/>
    <x v="8"/>
    <x v="2"/>
    <x v="6"/>
    <x v="1"/>
  </r>
  <r>
    <x v="1150"/>
    <x v="15"/>
    <x v="3"/>
    <n v="63.7"/>
    <x v="978"/>
    <d v="2025-02-15T00:00:00"/>
    <x v="41"/>
    <x v="2"/>
    <x v="2"/>
    <x v="2"/>
    <s v="California"/>
    <x v="8"/>
    <x v="3"/>
    <x v="6"/>
    <x v="2"/>
  </r>
  <r>
    <x v="1151"/>
    <x v="10"/>
    <x v="1"/>
    <n v="66.2"/>
    <x v="979"/>
    <d v="2025-02-15T00:00:00"/>
    <x v="41"/>
    <x v="2"/>
    <x v="4"/>
    <x v="2"/>
    <s v="California"/>
    <x v="17"/>
    <x v="3"/>
    <x v="6"/>
    <x v="2"/>
  </r>
  <r>
    <x v="1152"/>
    <x v="12"/>
    <x v="2"/>
    <n v="32.299999999999997"/>
    <x v="980"/>
    <d v="2025-02-15T00:00:00"/>
    <x v="41"/>
    <x v="3"/>
    <x v="2"/>
    <x v="1"/>
    <s v="California"/>
    <x v="9"/>
    <x v="3"/>
    <x v="6"/>
    <x v="3"/>
  </r>
  <r>
    <x v="1153"/>
    <x v="4"/>
    <x v="1"/>
    <n v="66.900000000000006"/>
    <x v="981"/>
    <d v="2025-02-15T00:00:00"/>
    <x v="50"/>
    <x v="1"/>
    <x v="1"/>
    <x v="0"/>
    <s v="California"/>
    <x v="11"/>
    <x v="2"/>
    <x v="6"/>
    <x v="1"/>
  </r>
  <r>
    <x v="1154"/>
    <x v="4"/>
    <x v="4"/>
    <n v="25.2"/>
    <x v="982"/>
    <d v="2025-02-15T00:00:00"/>
    <x v="46"/>
    <x v="2"/>
    <x v="0"/>
    <x v="1"/>
    <s v="California"/>
    <x v="11"/>
    <x v="5"/>
    <x v="6"/>
    <x v="2"/>
  </r>
  <r>
    <x v="1155"/>
    <x v="10"/>
    <x v="13"/>
    <n v="29.5"/>
    <x v="983"/>
    <d v="2025-02-15T00:00:00"/>
    <x v="41"/>
    <x v="1"/>
    <x v="2"/>
    <x v="0"/>
    <s v="California"/>
    <x v="11"/>
    <x v="3"/>
    <x v="6"/>
    <x v="1"/>
  </r>
  <r>
    <x v="1156"/>
    <x v="8"/>
    <x v="9"/>
    <n v="21.6"/>
    <x v="807"/>
    <d v="2025-02-15T00:00:00"/>
    <x v="43"/>
    <x v="2"/>
    <x v="0"/>
    <x v="2"/>
    <s v="California"/>
    <x v="32"/>
    <x v="1"/>
    <x v="6"/>
    <x v="2"/>
  </r>
  <r>
    <x v="1157"/>
    <x v="12"/>
    <x v="2"/>
    <n v="69"/>
    <x v="461"/>
    <d v="2025-02-15T00:00:00"/>
    <x v="41"/>
    <x v="2"/>
    <x v="0"/>
    <x v="0"/>
    <s v="California"/>
    <x v="18"/>
    <x v="3"/>
    <x v="6"/>
    <x v="2"/>
  </r>
  <r>
    <x v="1158"/>
    <x v="7"/>
    <x v="1"/>
    <n v="115"/>
    <x v="984"/>
    <d v="2025-02-15T00:00:00"/>
    <x v="46"/>
    <x v="1"/>
    <x v="0"/>
    <x v="2"/>
    <s v="California"/>
    <x v="18"/>
    <x v="5"/>
    <x v="6"/>
    <x v="1"/>
  </r>
  <r>
    <x v="1159"/>
    <x v="2"/>
    <x v="1"/>
    <n v="109.3"/>
    <x v="985"/>
    <d v="2025-02-15T00:00:00"/>
    <x v="43"/>
    <x v="0"/>
    <x v="3"/>
    <x v="1"/>
    <s v="California"/>
    <x v="19"/>
    <x v="1"/>
    <x v="6"/>
    <x v="0"/>
  </r>
  <r>
    <x v="1160"/>
    <x v="9"/>
    <x v="1"/>
    <n v="66.599999999999994"/>
    <x v="986"/>
    <d v="2025-02-15T00:00:00"/>
    <x v="50"/>
    <x v="0"/>
    <x v="4"/>
    <x v="1"/>
    <s v="California"/>
    <x v="19"/>
    <x v="2"/>
    <x v="6"/>
    <x v="0"/>
  </r>
  <r>
    <x v="1161"/>
    <x v="12"/>
    <x v="9"/>
    <n v="47.7"/>
    <x v="987"/>
    <d v="2025-02-15T00:00:00"/>
    <x v="41"/>
    <x v="1"/>
    <x v="3"/>
    <x v="2"/>
    <s v="California"/>
    <x v="21"/>
    <x v="3"/>
    <x v="6"/>
    <x v="1"/>
  </r>
  <r>
    <x v="1162"/>
    <x v="8"/>
    <x v="1"/>
    <n v="46"/>
    <x v="988"/>
    <d v="2025-02-15T00:00:00"/>
    <x v="41"/>
    <x v="2"/>
    <x v="4"/>
    <x v="4"/>
    <s v="California"/>
    <x v="22"/>
    <x v="3"/>
    <x v="6"/>
    <x v="2"/>
  </r>
  <r>
    <x v="1163"/>
    <x v="1"/>
    <x v="13"/>
    <n v="39.299999999999997"/>
    <x v="989"/>
    <d v="2025-02-15T00:00:00"/>
    <x v="43"/>
    <x v="1"/>
    <x v="3"/>
    <x v="2"/>
    <s v="California"/>
    <x v="3"/>
    <x v="1"/>
    <x v="6"/>
    <x v="1"/>
  </r>
  <r>
    <x v="1164"/>
    <x v="9"/>
    <x v="0"/>
    <n v="70.2"/>
    <x v="474"/>
    <d v="2025-02-15T00:00:00"/>
    <x v="41"/>
    <x v="2"/>
    <x v="0"/>
    <x v="4"/>
    <s v="California"/>
    <x v="3"/>
    <x v="3"/>
    <x v="6"/>
    <x v="2"/>
  </r>
  <r>
    <x v="1165"/>
    <x v="3"/>
    <x v="12"/>
    <n v="71.5"/>
    <x v="990"/>
    <d v="2025-02-15T00:00:00"/>
    <x v="48"/>
    <x v="2"/>
    <x v="1"/>
    <x v="2"/>
    <s v="California"/>
    <x v="3"/>
    <x v="7"/>
    <x v="6"/>
    <x v="2"/>
  </r>
  <r>
    <x v="1166"/>
    <x v="10"/>
    <x v="3"/>
    <n v="31"/>
    <x v="991"/>
    <d v="2025-02-15T00:00:00"/>
    <x v="56"/>
    <x v="2"/>
    <x v="3"/>
    <x v="2"/>
    <s v="California"/>
    <x v="3"/>
    <x v="6"/>
    <x v="6"/>
    <x v="2"/>
  </r>
  <r>
    <x v="1167"/>
    <x v="2"/>
    <x v="9"/>
    <n v="68.2"/>
    <x v="992"/>
    <d v="2025-02-15T00:00:00"/>
    <x v="49"/>
    <x v="2"/>
    <x v="0"/>
    <x v="2"/>
    <s v="California"/>
    <x v="3"/>
    <x v="0"/>
    <x v="6"/>
    <x v="2"/>
  </r>
  <r>
    <x v="1168"/>
    <x v="2"/>
    <x v="0"/>
    <n v="91.4"/>
    <x v="411"/>
    <d v="2025-02-15T00:00:00"/>
    <x v="46"/>
    <x v="2"/>
    <x v="1"/>
    <x v="2"/>
    <s v="California"/>
    <x v="6"/>
    <x v="5"/>
    <x v="6"/>
    <x v="2"/>
  </r>
  <r>
    <x v="1169"/>
    <x v="6"/>
    <x v="7"/>
    <n v="112.9"/>
    <x v="993"/>
    <d v="2025-02-15T00:00:00"/>
    <x v="41"/>
    <x v="2"/>
    <x v="0"/>
    <x v="0"/>
    <s v="California"/>
    <x v="6"/>
    <x v="3"/>
    <x v="6"/>
    <x v="2"/>
  </r>
  <r>
    <x v="1170"/>
    <x v="17"/>
    <x v="11"/>
    <n v="33.700000000000003"/>
    <x v="994"/>
    <d v="2025-02-15T00:00:00"/>
    <x v="41"/>
    <x v="2"/>
    <x v="1"/>
    <x v="2"/>
    <s v="California"/>
    <x v="8"/>
    <x v="3"/>
    <x v="6"/>
    <x v="2"/>
  </r>
  <r>
    <x v="1171"/>
    <x v="15"/>
    <x v="7"/>
    <n v="35.299999999999997"/>
    <x v="995"/>
    <d v="2025-02-15T00:00:00"/>
    <x v="43"/>
    <x v="1"/>
    <x v="2"/>
    <x v="0"/>
    <s v="California"/>
    <x v="8"/>
    <x v="1"/>
    <x v="6"/>
    <x v="1"/>
  </r>
  <r>
    <x v="1172"/>
    <x v="18"/>
    <x v="2"/>
    <n v="45.6"/>
    <x v="996"/>
    <d v="2025-02-15T00:00:00"/>
    <x v="46"/>
    <x v="1"/>
    <x v="3"/>
    <x v="0"/>
    <s v="California"/>
    <x v="8"/>
    <x v="5"/>
    <x v="6"/>
    <x v="1"/>
  </r>
  <r>
    <x v="1173"/>
    <x v="7"/>
    <x v="3"/>
    <n v="47.1"/>
    <x v="847"/>
    <d v="2025-02-15T00:00:00"/>
    <x v="41"/>
    <x v="2"/>
    <x v="4"/>
    <x v="2"/>
    <s v="California"/>
    <x v="9"/>
    <x v="3"/>
    <x v="6"/>
    <x v="2"/>
  </r>
  <r>
    <x v="1174"/>
    <x v="8"/>
    <x v="9"/>
    <n v="16.2"/>
    <x v="969"/>
    <d v="2025-02-15T00:00:00"/>
    <x v="43"/>
    <x v="2"/>
    <x v="3"/>
    <x v="2"/>
    <s v="California"/>
    <x v="19"/>
    <x v="1"/>
    <x v="6"/>
    <x v="2"/>
  </r>
  <r>
    <x v="1175"/>
    <x v="1"/>
    <x v="1"/>
    <n v="159.69999999999999"/>
    <x v="997"/>
    <d v="2025-02-16T00:00:00"/>
    <x v="43"/>
    <x v="1"/>
    <x v="4"/>
    <x v="0"/>
    <s v="California"/>
    <x v="13"/>
    <x v="3"/>
    <x v="7"/>
    <x v="1"/>
  </r>
  <r>
    <x v="1176"/>
    <x v="8"/>
    <x v="12"/>
    <n v="19"/>
    <x v="998"/>
    <d v="2025-02-16T00:00:00"/>
    <x v="55"/>
    <x v="2"/>
    <x v="2"/>
    <x v="2"/>
    <s v="California"/>
    <x v="21"/>
    <x v="6"/>
    <x v="7"/>
    <x v="2"/>
  </r>
  <r>
    <x v="1177"/>
    <x v="6"/>
    <x v="13"/>
    <n v="91.1"/>
    <x v="999"/>
    <d v="2025-02-16T00:00:00"/>
    <x v="51"/>
    <x v="2"/>
    <x v="4"/>
    <x v="0"/>
    <s v="California"/>
    <x v="21"/>
    <x v="8"/>
    <x v="7"/>
    <x v="2"/>
  </r>
  <r>
    <x v="1178"/>
    <x v="2"/>
    <x v="9"/>
    <n v="94.1"/>
    <x v="1000"/>
    <d v="2025-02-16T00:00:00"/>
    <x v="46"/>
    <x v="0"/>
    <x v="1"/>
    <x v="1"/>
    <s v="California"/>
    <x v="21"/>
    <x v="2"/>
    <x v="7"/>
    <x v="0"/>
  </r>
  <r>
    <x v="1179"/>
    <x v="9"/>
    <x v="11"/>
    <n v="21.1"/>
    <x v="1001"/>
    <d v="2025-02-16T00:00:00"/>
    <x v="43"/>
    <x v="2"/>
    <x v="4"/>
    <x v="2"/>
    <s v="California"/>
    <x v="51"/>
    <x v="3"/>
    <x v="7"/>
    <x v="2"/>
  </r>
  <r>
    <x v="1180"/>
    <x v="8"/>
    <x v="3"/>
    <n v="15.3"/>
    <x v="1002"/>
    <d v="2025-02-16T00:00:00"/>
    <x v="54"/>
    <x v="2"/>
    <x v="2"/>
    <x v="0"/>
    <s v="California"/>
    <x v="1"/>
    <x v="9"/>
    <x v="7"/>
    <x v="2"/>
  </r>
  <r>
    <x v="1181"/>
    <x v="15"/>
    <x v="12"/>
    <n v="21.3"/>
    <x v="464"/>
    <d v="2025-02-16T00:00:00"/>
    <x v="46"/>
    <x v="1"/>
    <x v="1"/>
    <x v="0"/>
    <s v="California"/>
    <x v="3"/>
    <x v="2"/>
    <x v="7"/>
    <x v="1"/>
  </r>
  <r>
    <x v="1182"/>
    <x v="0"/>
    <x v="1"/>
    <n v="23.2"/>
    <x v="434"/>
    <d v="2025-02-16T00:00:00"/>
    <x v="41"/>
    <x v="0"/>
    <x v="3"/>
    <x v="1"/>
    <s v="California"/>
    <x v="3"/>
    <x v="7"/>
    <x v="7"/>
    <x v="0"/>
  </r>
  <r>
    <x v="1183"/>
    <x v="4"/>
    <x v="2"/>
    <n v="25.7"/>
    <x v="1003"/>
    <d v="2025-02-16T00:00:00"/>
    <x v="43"/>
    <x v="1"/>
    <x v="4"/>
    <x v="0"/>
    <s v="California"/>
    <x v="3"/>
    <x v="3"/>
    <x v="7"/>
    <x v="1"/>
  </r>
  <r>
    <x v="1184"/>
    <x v="0"/>
    <x v="11"/>
    <n v="31.6"/>
    <x v="1004"/>
    <d v="2025-02-16T00:00:00"/>
    <x v="50"/>
    <x v="2"/>
    <x v="0"/>
    <x v="0"/>
    <s v="California"/>
    <x v="3"/>
    <x v="1"/>
    <x v="7"/>
    <x v="2"/>
  </r>
  <r>
    <x v="1185"/>
    <x v="6"/>
    <x v="0"/>
    <n v="64.2"/>
    <x v="1005"/>
    <d v="2025-02-16T00:00:00"/>
    <x v="47"/>
    <x v="1"/>
    <x v="0"/>
    <x v="0"/>
    <s v="California"/>
    <x v="3"/>
    <x v="0"/>
    <x v="7"/>
    <x v="1"/>
  </r>
  <r>
    <x v="1186"/>
    <x v="8"/>
    <x v="1"/>
    <n v="55.8"/>
    <x v="1006"/>
    <d v="2025-02-16T00:00:00"/>
    <x v="50"/>
    <x v="0"/>
    <x v="0"/>
    <x v="0"/>
    <s v="California"/>
    <x v="3"/>
    <x v="1"/>
    <x v="7"/>
    <x v="0"/>
  </r>
  <r>
    <x v="1187"/>
    <x v="8"/>
    <x v="1"/>
    <n v="28.1"/>
    <x v="1007"/>
    <d v="2025-02-16T00:00:00"/>
    <x v="43"/>
    <x v="2"/>
    <x v="4"/>
    <x v="1"/>
    <s v="California"/>
    <x v="3"/>
    <x v="3"/>
    <x v="7"/>
    <x v="2"/>
  </r>
  <r>
    <x v="1188"/>
    <x v="0"/>
    <x v="1"/>
    <n v="11.6"/>
    <x v="772"/>
    <d v="2025-02-16T00:00:00"/>
    <x v="50"/>
    <x v="2"/>
    <x v="1"/>
    <x v="0"/>
    <s v="California"/>
    <x v="24"/>
    <x v="1"/>
    <x v="7"/>
    <x v="2"/>
  </r>
  <r>
    <x v="1189"/>
    <x v="5"/>
    <x v="2"/>
    <n v="50.4"/>
    <x v="277"/>
    <d v="2025-02-16T00:00:00"/>
    <x v="43"/>
    <x v="1"/>
    <x v="4"/>
    <x v="2"/>
    <s v="California"/>
    <x v="25"/>
    <x v="3"/>
    <x v="7"/>
    <x v="1"/>
  </r>
  <r>
    <x v="1190"/>
    <x v="6"/>
    <x v="13"/>
    <n v="48.3"/>
    <x v="1008"/>
    <d v="2025-02-16T00:00:00"/>
    <x v="49"/>
    <x v="2"/>
    <x v="0"/>
    <x v="0"/>
    <s v="California"/>
    <x v="25"/>
    <x v="5"/>
    <x v="7"/>
    <x v="2"/>
  </r>
  <r>
    <x v="1191"/>
    <x v="17"/>
    <x v="3"/>
    <n v="32.200000000000003"/>
    <x v="1009"/>
    <d v="2025-02-16T00:00:00"/>
    <x v="50"/>
    <x v="2"/>
    <x v="2"/>
    <x v="0"/>
    <s v="California"/>
    <x v="25"/>
    <x v="1"/>
    <x v="7"/>
    <x v="2"/>
  </r>
  <r>
    <x v="1192"/>
    <x v="7"/>
    <x v="31"/>
    <n v="48.5"/>
    <x v="1010"/>
    <d v="2025-02-16T00:00:00"/>
    <x v="43"/>
    <x v="1"/>
    <x v="0"/>
    <x v="0"/>
    <s v="California"/>
    <x v="5"/>
    <x v="3"/>
    <x v="7"/>
    <x v="1"/>
  </r>
  <r>
    <x v="1193"/>
    <x v="2"/>
    <x v="9"/>
    <n v="62"/>
    <x v="892"/>
    <d v="2025-02-16T00:00:00"/>
    <x v="46"/>
    <x v="2"/>
    <x v="1"/>
    <x v="0"/>
    <s v="California"/>
    <x v="6"/>
    <x v="2"/>
    <x v="7"/>
    <x v="2"/>
  </r>
  <r>
    <x v="1194"/>
    <x v="8"/>
    <x v="2"/>
    <n v="32.1"/>
    <x v="219"/>
    <d v="2025-02-17T00:00:00"/>
    <x v="46"/>
    <x v="1"/>
    <x v="0"/>
    <x v="0"/>
    <s v="California"/>
    <x v="6"/>
    <x v="1"/>
    <x v="7"/>
    <x v="1"/>
  </r>
  <r>
    <x v="1195"/>
    <x v="12"/>
    <x v="2"/>
    <n v="106.1"/>
    <x v="1011"/>
    <d v="2025-02-17T00:00:00"/>
    <x v="46"/>
    <x v="1"/>
    <x v="0"/>
    <x v="1"/>
    <s v="California"/>
    <x v="7"/>
    <x v="1"/>
    <x v="7"/>
    <x v="1"/>
  </r>
  <r>
    <x v="1196"/>
    <x v="10"/>
    <x v="2"/>
    <n v="23.5"/>
    <x v="1012"/>
    <d v="2025-02-17T00:00:00"/>
    <x v="49"/>
    <x v="1"/>
    <x v="0"/>
    <x v="4"/>
    <s v="California"/>
    <x v="7"/>
    <x v="2"/>
    <x v="7"/>
    <x v="1"/>
  </r>
  <r>
    <x v="1197"/>
    <x v="1"/>
    <x v="1"/>
    <n v="35.6"/>
    <x v="1013"/>
    <d v="2025-02-17T00:00:00"/>
    <x v="56"/>
    <x v="1"/>
    <x v="4"/>
    <x v="0"/>
    <s v="California"/>
    <x v="8"/>
    <x v="0"/>
    <x v="7"/>
    <x v="1"/>
  </r>
  <r>
    <x v="1198"/>
    <x v="1"/>
    <x v="1"/>
    <n v="63.5"/>
    <x v="520"/>
    <d v="2025-02-17T00:00:00"/>
    <x v="43"/>
    <x v="2"/>
    <x v="1"/>
    <x v="2"/>
    <s v="California"/>
    <x v="8"/>
    <x v="7"/>
    <x v="7"/>
    <x v="2"/>
  </r>
  <r>
    <x v="1199"/>
    <x v="6"/>
    <x v="3"/>
    <n v="82.9"/>
    <x v="1014"/>
    <d v="2025-02-17T00:00:00"/>
    <x v="56"/>
    <x v="2"/>
    <x v="4"/>
    <x v="0"/>
    <s v="California"/>
    <x v="9"/>
    <x v="0"/>
    <x v="7"/>
    <x v="2"/>
  </r>
  <r>
    <x v="1200"/>
    <x v="6"/>
    <x v="1"/>
    <n v="83.6"/>
    <x v="762"/>
    <d v="2025-02-17T00:00:00"/>
    <x v="56"/>
    <x v="2"/>
    <x v="0"/>
    <x v="0"/>
    <s v="California"/>
    <x v="11"/>
    <x v="0"/>
    <x v="7"/>
    <x v="2"/>
  </r>
  <r>
    <x v="1201"/>
    <x v="4"/>
    <x v="1"/>
    <n v="29.4"/>
    <x v="572"/>
    <d v="2025-02-17T00:00:00"/>
    <x v="43"/>
    <x v="2"/>
    <x v="0"/>
    <x v="1"/>
    <s v="California"/>
    <x v="30"/>
    <x v="7"/>
    <x v="7"/>
    <x v="2"/>
  </r>
  <r>
    <x v="1202"/>
    <x v="2"/>
    <x v="2"/>
    <n v="107.1"/>
    <x v="1015"/>
    <d v="2025-02-17T00:00:00"/>
    <x v="47"/>
    <x v="2"/>
    <x v="2"/>
    <x v="0"/>
    <s v="California"/>
    <x v="20"/>
    <x v="5"/>
    <x v="7"/>
    <x v="2"/>
  </r>
  <r>
    <x v="1203"/>
    <x v="2"/>
    <x v="0"/>
    <n v="62.7"/>
    <x v="1016"/>
    <d v="2025-02-17T00:00:00"/>
    <x v="47"/>
    <x v="1"/>
    <x v="1"/>
    <x v="0"/>
    <s v="California"/>
    <x v="21"/>
    <x v="5"/>
    <x v="7"/>
    <x v="1"/>
  </r>
  <r>
    <x v="1204"/>
    <x v="11"/>
    <x v="0"/>
    <n v="41.6"/>
    <x v="480"/>
    <d v="2025-02-17T00:00:00"/>
    <x v="50"/>
    <x v="1"/>
    <x v="0"/>
    <x v="1"/>
    <s v="California"/>
    <x v="1"/>
    <x v="3"/>
    <x v="7"/>
    <x v="1"/>
  </r>
  <r>
    <x v="1205"/>
    <x v="6"/>
    <x v="0"/>
    <n v="44.2"/>
    <x v="573"/>
    <d v="2025-02-17T00:00:00"/>
    <x v="50"/>
    <x v="3"/>
    <x v="0"/>
    <x v="1"/>
    <s v="California"/>
    <x v="1"/>
    <x v="3"/>
    <x v="7"/>
    <x v="3"/>
  </r>
  <r>
    <x v="1206"/>
    <x v="4"/>
    <x v="13"/>
    <n v="40.4"/>
    <x v="1017"/>
    <d v="2025-02-17T00:00:00"/>
    <x v="57"/>
    <x v="2"/>
    <x v="2"/>
    <x v="0"/>
    <s v="California"/>
    <x v="22"/>
    <x v="10"/>
    <x v="7"/>
    <x v="2"/>
  </r>
  <r>
    <x v="1207"/>
    <x v="15"/>
    <x v="13"/>
    <n v="59.6"/>
    <x v="1018"/>
    <d v="2025-02-17T00:00:00"/>
    <x v="50"/>
    <x v="2"/>
    <x v="4"/>
    <x v="0"/>
    <s v="California"/>
    <x v="34"/>
    <x v="3"/>
    <x v="7"/>
    <x v="2"/>
  </r>
  <r>
    <x v="1208"/>
    <x v="17"/>
    <x v="4"/>
    <n v="63.8"/>
    <x v="1019"/>
    <d v="2025-02-17T00:00:00"/>
    <x v="50"/>
    <x v="1"/>
    <x v="1"/>
    <x v="0"/>
    <s v="California"/>
    <x v="3"/>
    <x v="3"/>
    <x v="7"/>
    <x v="1"/>
  </r>
  <r>
    <x v="1209"/>
    <x v="9"/>
    <x v="13"/>
    <n v="30.8"/>
    <x v="827"/>
    <d v="2025-02-17T00:00:00"/>
    <x v="46"/>
    <x v="1"/>
    <x v="4"/>
    <x v="0"/>
    <s v="California"/>
    <x v="3"/>
    <x v="1"/>
    <x v="7"/>
    <x v="1"/>
  </r>
  <r>
    <x v="1210"/>
    <x v="1"/>
    <x v="1"/>
    <n v="41.5"/>
    <x v="470"/>
    <d v="2025-02-17T00:00:00"/>
    <x v="49"/>
    <x v="3"/>
    <x v="0"/>
    <x v="0"/>
    <s v="California"/>
    <x v="3"/>
    <x v="2"/>
    <x v="7"/>
    <x v="3"/>
  </r>
  <r>
    <x v="1211"/>
    <x v="10"/>
    <x v="12"/>
    <n v="44.7"/>
    <x v="1020"/>
    <d v="2025-02-17T00:00:00"/>
    <x v="46"/>
    <x v="2"/>
    <x v="2"/>
    <x v="1"/>
    <s v="California"/>
    <x v="3"/>
    <x v="1"/>
    <x v="7"/>
    <x v="2"/>
  </r>
  <r>
    <x v="1212"/>
    <x v="12"/>
    <x v="1"/>
    <n v="64.099999999999994"/>
    <x v="618"/>
    <d v="2025-02-17T00:00:00"/>
    <x v="47"/>
    <x v="2"/>
    <x v="1"/>
    <x v="4"/>
    <s v="California"/>
    <x v="3"/>
    <x v="5"/>
    <x v="7"/>
    <x v="2"/>
  </r>
  <r>
    <x v="1213"/>
    <x v="8"/>
    <x v="0"/>
    <n v="15.9"/>
    <x v="1021"/>
    <d v="2025-02-17T00:00:00"/>
    <x v="49"/>
    <x v="0"/>
    <x v="1"/>
    <x v="0"/>
    <s v="California"/>
    <x v="3"/>
    <x v="2"/>
    <x v="7"/>
    <x v="0"/>
  </r>
  <r>
    <x v="1214"/>
    <x v="6"/>
    <x v="1"/>
    <n v="78.7"/>
    <x v="1022"/>
    <d v="2025-02-17T00:00:00"/>
    <x v="43"/>
    <x v="2"/>
    <x v="2"/>
    <x v="1"/>
    <s v="California"/>
    <x v="3"/>
    <x v="7"/>
    <x v="7"/>
    <x v="2"/>
  </r>
  <r>
    <x v="1215"/>
    <x v="5"/>
    <x v="4"/>
    <n v="29.6"/>
    <x v="1023"/>
    <d v="2025-02-17T00:00:00"/>
    <x v="47"/>
    <x v="1"/>
    <x v="2"/>
    <x v="4"/>
    <s v="California"/>
    <x v="3"/>
    <x v="5"/>
    <x v="7"/>
    <x v="1"/>
  </r>
  <r>
    <x v="1216"/>
    <x v="8"/>
    <x v="12"/>
    <n v="21.5"/>
    <x v="1024"/>
    <d v="2025-02-17T00:00:00"/>
    <x v="49"/>
    <x v="1"/>
    <x v="1"/>
    <x v="0"/>
    <s v="California"/>
    <x v="3"/>
    <x v="2"/>
    <x v="7"/>
    <x v="1"/>
  </r>
  <r>
    <x v="1217"/>
    <x v="9"/>
    <x v="2"/>
    <n v="74.900000000000006"/>
    <x v="890"/>
    <d v="2025-02-17T00:00:00"/>
    <x v="52"/>
    <x v="1"/>
    <x v="3"/>
    <x v="1"/>
    <s v="California"/>
    <x v="3"/>
    <x v="8"/>
    <x v="7"/>
    <x v="1"/>
  </r>
  <r>
    <x v="1218"/>
    <x v="10"/>
    <x v="13"/>
    <n v="45"/>
    <x v="843"/>
    <d v="2025-02-17T00:00:00"/>
    <x v="56"/>
    <x v="2"/>
    <x v="2"/>
    <x v="0"/>
    <s v="California"/>
    <x v="3"/>
    <x v="0"/>
    <x v="7"/>
    <x v="2"/>
  </r>
  <r>
    <x v="1219"/>
    <x v="7"/>
    <x v="33"/>
    <n v="37.9"/>
    <x v="1025"/>
    <d v="2025-02-17T00:00:00"/>
    <x v="50"/>
    <x v="1"/>
    <x v="0"/>
    <x v="0"/>
    <s v="California"/>
    <x v="3"/>
    <x v="3"/>
    <x v="7"/>
    <x v="1"/>
  </r>
  <r>
    <x v="1220"/>
    <x v="6"/>
    <x v="2"/>
    <n v="56.6"/>
    <x v="1026"/>
    <d v="2025-02-17T00:00:00"/>
    <x v="50"/>
    <x v="1"/>
    <x v="3"/>
    <x v="0"/>
    <s v="California"/>
    <x v="3"/>
    <x v="3"/>
    <x v="7"/>
    <x v="1"/>
  </r>
  <r>
    <x v="1221"/>
    <x v="3"/>
    <x v="15"/>
    <n v="84.5"/>
    <x v="1027"/>
    <d v="2025-02-17T00:00:00"/>
    <x v="49"/>
    <x v="2"/>
    <x v="1"/>
    <x v="4"/>
    <s v="California"/>
    <x v="3"/>
    <x v="2"/>
    <x v="7"/>
    <x v="2"/>
  </r>
  <r>
    <x v="1222"/>
    <x v="2"/>
    <x v="9"/>
    <n v="105.4"/>
    <x v="1028"/>
    <d v="2025-02-17T00:00:00"/>
    <x v="46"/>
    <x v="2"/>
    <x v="1"/>
    <x v="1"/>
    <s v="California"/>
    <x v="3"/>
    <x v="1"/>
    <x v="7"/>
    <x v="2"/>
  </r>
  <r>
    <x v="1223"/>
    <x v="18"/>
    <x v="3"/>
    <n v="39.4"/>
    <x v="1029"/>
    <d v="2025-02-18T00:00:00"/>
    <x v="50"/>
    <x v="1"/>
    <x v="1"/>
    <x v="0"/>
    <s v="California"/>
    <x v="37"/>
    <x v="7"/>
    <x v="7"/>
    <x v="1"/>
  </r>
  <r>
    <x v="1224"/>
    <x v="19"/>
    <x v="2"/>
    <n v="38"/>
    <x v="717"/>
    <d v="2025-02-18T00:00:00"/>
    <x v="47"/>
    <x v="1"/>
    <x v="4"/>
    <x v="1"/>
    <s v="California"/>
    <x v="6"/>
    <x v="2"/>
    <x v="7"/>
    <x v="1"/>
  </r>
  <r>
    <x v="1225"/>
    <x v="17"/>
    <x v="12"/>
    <n v="42.5"/>
    <x v="393"/>
    <d v="2025-02-18T00:00:00"/>
    <x v="49"/>
    <x v="0"/>
    <x v="0"/>
    <x v="0"/>
    <s v="California"/>
    <x v="6"/>
    <x v="1"/>
    <x v="7"/>
    <x v="0"/>
  </r>
  <r>
    <x v="1226"/>
    <x v="15"/>
    <x v="0"/>
    <n v="62.3"/>
    <x v="1030"/>
    <d v="2025-02-18T00:00:00"/>
    <x v="53"/>
    <x v="1"/>
    <x v="0"/>
    <x v="2"/>
    <s v="California"/>
    <x v="6"/>
    <x v="8"/>
    <x v="7"/>
    <x v="1"/>
  </r>
  <r>
    <x v="1227"/>
    <x v="6"/>
    <x v="9"/>
    <n v="49.1"/>
    <x v="1031"/>
    <d v="2025-02-18T00:00:00"/>
    <x v="49"/>
    <x v="2"/>
    <x v="1"/>
    <x v="2"/>
    <s v="California"/>
    <x v="7"/>
    <x v="1"/>
    <x v="7"/>
    <x v="2"/>
  </r>
  <r>
    <x v="1228"/>
    <x v="3"/>
    <x v="1"/>
    <n v="30.5"/>
    <x v="170"/>
    <d v="2025-02-18T00:00:00"/>
    <x v="47"/>
    <x v="1"/>
    <x v="0"/>
    <x v="2"/>
    <s v="California"/>
    <x v="8"/>
    <x v="2"/>
    <x v="7"/>
    <x v="1"/>
  </r>
  <r>
    <x v="1229"/>
    <x v="2"/>
    <x v="1"/>
    <n v="154.80000000000001"/>
    <x v="141"/>
    <d v="2025-02-18T00:00:00"/>
    <x v="47"/>
    <x v="2"/>
    <x v="1"/>
    <x v="4"/>
    <s v="California"/>
    <x v="8"/>
    <x v="2"/>
    <x v="7"/>
    <x v="2"/>
  </r>
  <r>
    <x v="1230"/>
    <x v="6"/>
    <x v="0"/>
    <n v="45"/>
    <x v="583"/>
    <d v="2025-02-18T00:00:00"/>
    <x v="56"/>
    <x v="1"/>
    <x v="3"/>
    <x v="1"/>
    <s v="California"/>
    <x v="8"/>
    <x v="5"/>
    <x v="7"/>
    <x v="1"/>
  </r>
  <r>
    <x v="1231"/>
    <x v="0"/>
    <x v="3"/>
    <n v="15.3"/>
    <x v="1002"/>
    <d v="2025-02-18T00:00:00"/>
    <x v="46"/>
    <x v="1"/>
    <x v="0"/>
    <x v="2"/>
    <s v="California"/>
    <x v="8"/>
    <x v="3"/>
    <x v="7"/>
    <x v="1"/>
  </r>
  <r>
    <x v="1232"/>
    <x v="2"/>
    <x v="5"/>
    <n v="88.6"/>
    <x v="1032"/>
    <d v="2025-02-18T00:00:00"/>
    <x v="47"/>
    <x v="2"/>
    <x v="0"/>
    <x v="4"/>
    <s v="California"/>
    <x v="17"/>
    <x v="2"/>
    <x v="7"/>
    <x v="2"/>
  </r>
  <r>
    <x v="1233"/>
    <x v="9"/>
    <x v="1"/>
    <n v="49.7"/>
    <x v="1033"/>
    <d v="2025-02-18T00:00:00"/>
    <x v="49"/>
    <x v="3"/>
    <x v="4"/>
    <x v="0"/>
    <s v="California"/>
    <x v="10"/>
    <x v="1"/>
    <x v="7"/>
    <x v="3"/>
  </r>
  <r>
    <x v="1234"/>
    <x v="10"/>
    <x v="0"/>
    <n v="29"/>
    <x v="1034"/>
    <d v="2025-02-18T00:00:00"/>
    <x v="46"/>
    <x v="1"/>
    <x v="0"/>
    <x v="0"/>
    <s v="California"/>
    <x v="11"/>
    <x v="3"/>
    <x v="7"/>
    <x v="1"/>
  </r>
  <r>
    <x v="1235"/>
    <x v="1"/>
    <x v="0"/>
    <n v="60.7"/>
    <x v="1035"/>
    <d v="2025-02-18T00:00:00"/>
    <x v="46"/>
    <x v="3"/>
    <x v="0"/>
    <x v="1"/>
    <s v="California"/>
    <x v="11"/>
    <x v="3"/>
    <x v="7"/>
    <x v="3"/>
  </r>
  <r>
    <x v="1236"/>
    <x v="17"/>
    <x v="12"/>
    <n v="87.4"/>
    <x v="1036"/>
    <d v="2025-02-18T00:00:00"/>
    <x v="49"/>
    <x v="0"/>
    <x v="0"/>
    <x v="0"/>
    <s v="California"/>
    <x v="11"/>
    <x v="1"/>
    <x v="7"/>
    <x v="0"/>
  </r>
  <r>
    <x v="1237"/>
    <x v="4"/>
    <x v="3"/>
    <n v="44.5"/>
    <x v="1037"/>
    <d v="2025-02-18T00:00:00"/>
    <x v="56"/>
    <x v="2"/>
    <x v="2"/>
    <x v="2"/>
    <s v="California"/>
    <x v="19"/>
    <x v="5"/>
    <x v="7"/>
    <x v="2"/>
  </r>
  <r>
    <x v="1238"/>
    <x v="2"/>
    <x v="0"/>
    <n v="141"/>
    <x v="1038"/>
    <d v="2025-02-18T00:00:00"/>
    <x v="46"/>
    <x v="1"/>
    <x v="4"/>
    <x v="2"/>
    <s v="California"/>
    <x v="19"/>
    <x v="3"/>
    <x v="7"/>
    <x v="1"/>
  </r>
  <r>
    <x v="1239"/>
    <x v="0"/>
    <x v="2"/>
    <n v="16.7"/>
    <x v="1039"/>
    <d v="2025-02-18T00:00:00"/>
    <x v="52"/>
    <x v="2"/>
    <x v="0"/>
    <x v="0"/>
    <s v="California"/>
    <x v="20"/>
    <x v="9"/>
    <x v="7"/>
    <x v="2"/>
  </r>
  <r>
    <x v="1240"/>
    <x v="1"/>
    <x v="1"/>
    <n v="77.5"/>
    <x v="1040"/>
    <d v="2025-02-18T00:00:00"/>
    <x v="46"/>
    <x v="0"/>
    <x v="2"/>
    <x v="2"/>
    <s v="California"/>
    <x v="13"/>
    <x v="3"/>
    <x v="7"/>
    <x v="0"/>
  </r>
  <r>
    <x v="1241"/>
    <x v="2"/>
    <x v="1"/>
    <n v="163"/>
    <x v="1041"/>
    <d v="2025-02-18T00:00:00"/>
    <x v="54"/>
    <x v="2"/>
    <x v="4"/>
    <x v="0"/>
    <s v="California"/>
    <x v="21"/>
    <x v="4"/>
    <x v="7"/>
    <x v="2"/>
  </r>
  <r>
    <x v="1242"/>
    <x v="4"/>
    <x v="11"/>
    <n v="21.4"/>
    <x v="1042"/>
    <d v="2025-02-18T00:00:00"/>
    <x v="47"/>
    <x v="2"/>
    <x v="0"/>
    <x v="0"/>
    <s v="California"/>
    <x v="51"/>
    <x v="2"/>
    <x v="7"/>
    <x v="2"/>
  </r>
  <r>
    <x v="1243"/>
    <x v="10"/>
    <x v="5"/>
    <n v="31"/>
    <x v="992"/>
    <d v="2025-02-18T00:00:00"/>
    <x v="49"/>
    <x v="2"/>
    <x v="3"/>
    <x v="2"/>
    <s v="California"/>
    <x v="1"/>
    <x v="1"/>
    <x v="7"/>
    <x v="2"/>
  </r>
  <r>
    <x v="1244"/>
    <x v="7"/>
    <x v="1"/>
    <n v="34.299999999999997"/>
    <x v="1043"/>
    <d v="2025-02-18T00:00:00"/>
    <x v="49"/>
    <x v="2"/>
    <x v="0"/>
    <x v="3"/>
    <s v="California"/>
    <x v="1"/>
    <x v="1"/>
    <x v="7"/>
    <x v="2"/>
  </r>
  <r>
    <x v="1245"/>
    <x v="17"/>
    <x v="9"/>
    <n v="48.2"/>
    <x v="1044"/>
    <d v="2025-02-18T00:00:00"/>
    <x v="46"/>
    <x v="1"/>
    <x v="1"/>
    <x v="1"/>
    <s v="California"/>
    <x v="2"/>
    <x v="3"/>
    <x v="7"/>
    <x v="1"/>
  </r>
  <r>
    <x v="1246"/>
    <x v="10"/>
    <x v="0"/>
    <n v="51.4"/>
    <x v="1045"/>
    <d v="2025-02-18T00:00:00"/>
    <x v="46"/>
    <x v="1"/>
    <x v="0"/>
    <x v="0"/>
    <s v="California"/>
    <x v="3"/>
    <x v="3"/>
    <x v="7"/>
    <x v="1"/>
  </r>
  <r>
    <x v="1247"/>
    <x v="2"/>
    <x v="9"/>
    <n v="117.2"/>
    <x v="1046"/>
    <d v="2025-02-18T00:00:00"/>
    <x v="47"/>
    <x v="2"/>
    <x v="4"/>
    <x v="4"/>
    <s v="California"/>
    <x v="3"/>
    <x v="2"/>
    <x v="7"/>
    <x v="2"/>
  </r>
  <r>
    <x v="1248"/>
    <x v="8"/>
    <x v="0"/>
    <n v="38.1"/>
    <x v="220"/>
    <d v="2025-02-18T00:00:00"/>
    <x v="50"/>
    <x v="1"/>
    <x v="4"/>
    <x v="1"/>
    <s v="California"/>
    <x v="3"/>
    <x v="7"/>
    <x v="7"/>
    <x v="1"/>
  </r>
  <r>
    <x v="1249"/>
    <x v="0"/>
    <x v="1"/>
    <n v="44.1"/>
    <x v="1047"/>
    <d v="2025-02-18T00:00:00"/>
    <x v="49"/>
    <x v="2"/>
    <x v="2"/>
    <x v="0"/>
    <s v="California"/>
    <x v="3"/>
    <x v="1"/>
    <x v="7"/>
    <x v="2"/>
  </r>
  <r>
    <x v="1250"/>
    <x v="15"/>
    <x v="12"/>
    <n v="80.5"/>
    <x v="310"/>
    <d v="2025-02-18T00:00:00"/>
    <x v="55"/>
    <x v="1"/>
    <x v="0"/>
    <x v="0"/>
    <s v="California"/>
    <x v="3"/>
    <x v="0"/>
    <x v="7"/>
    <x v="1"/>
  </r>
  <r>
    <x v="1251"/>
    <x v="18"/>
    <x v="12"/>
    <n v="33.6"/>
    <x v="1048"/>
    <d v="2025-02-18T00:00:00"/>
    <x v="55"/>
    <x v="0"/>
    <x v="0"/>
    <x v="2"/>
    <s v="California"/>
    <x v="3"/>
    <x v="0"/>
    <x v="7"/>
    <x v="0"/>
  </r>
  <r>
    <x v="1252"/>
    <x v="9"/>
    <x v="11"/>
    <n v="41.8"/>
    <x v="82"/>
    <d v="2025-02-18T00:00:00"/>
    <x v="46"/>
    <x v="2"/>
    <x v="0"/>
    <x v="1"/>
    <s v="California"/>
    <x v="3"/>
    <x v="3"/>
    <x v="7"/>
    <x v="2"/>
  </r>
  <r>
    <x v="1253"/>
    <x v="1"/>
    <x v="1"/>
    <n v="106.2"/>
    <x v="230"/>
    <d v="2025-02-18T00:00:00"/>
    <x v="50"/>
    <x v="2"/>
    <x v="4"/>
    <x v="2"/>
    <s v="California"/>
    <x v="3"/>
    <x v="7"/>
    <x v="7"/>
    <x v="2"/>
  </r>
  <r>
    <x v="1254"/>
    <x v="1"/>
    <x v="1"/>
    <n v="52.6"/>
    <x v="1049"/>
    <d v="2025-02-18T00:00:00"/>
    <x v="46"/>
    <x v="2"/>
    <x v="0"/>
    <x v="2"/>
    <s v="California"/>
    <x v="5"/>
    <x v="3"/>
    <x v="7"/>
    <x v="2"/>
  </r>
  <r>
    <x v="1255"/>
    <x v="11"/>
    <x v="3"/>
    <n v="68.5"/>
    <x v="1050"/>
    <d v="2025-02-18T00:00:00"/>
    <x v="46"/>
    <x v="2"/>
    <x v="1"/>
    <x v="0"/>
    <s v="California"/>
    <x v="5"/>
    <x v="3"/>
    <x v="7"/>
    <x v="2"/>
  </r>
  <r>
    <x v="1256"/>
    <x v="1"/>
    <x v="1"/>
    <n v="55.6"/>
    <x v="622"/>
    <d v="2025-02-18T00:00:00"/>
    <x v="49"/>
    <x v="1"/>
    <x v="1"/>
    <x v="2"/>
    <s v="California"/>
    <x v="6"/>
    <x v="1"/>
    <x v="7"/>
    <x v="1"/>
  </r>
  <r>
    <x v="1257"/>
    <x v="2"/>
    <x v="2"/>
    <n v="134.9"/>
    <x v="1051"/>
    <d v="2025-02-18T00:00:00"/>
    <x v="46"/>
    <x v="1"/>
    <x v="1"/>
    <x v="1"/>
    <s v="California"/>
    <x v="6"/>
    <x v="3"/>
    <x v="7"/>
    <x v="1"/>
  </r>
  <r>
    <x v="1258"/>
    <x v="10"/>
    <x v="9"/>
    <n v="42.6"/>
    <x v="226"/>
    <d v="2025-02-18T00:00:00"/>
    <x v="46"/>
    <x v="1"/>
    <x v="0"/>
    <x v="0"/>
    <s v="California"/>
    <x v="6"/>
    <x v="3"/>
    <x v="7"/>
    <x v="1"/>
  </r>
  <r>
    <x v="1259"/>
    <x v="7"/>
    <x v="9"/>
    <n v="60.6"/>
    <x v="1052"/>
    <d v="2025-02-18T00:00:00"/>
    <x v="49"/>
    <x v="1"/>
    <x v="4"/>
    <x v="0"/>
    <s v="California"/>
    <x v="6"/>
    <x v="1"/>
    <x v="7"/>
    <x v="1"/>
  </r>
  <r>
    <x v="1260"/>
    <x v="8"/>
    <x v="1"/>
    <n v="43.5"/>
    <x v="1053"/>
    <d v="2025-02-18T00:00:00"/>
    <x v="46"/>
    <x v="1"/>
    <x v="4"/>
    <x v="0"/>
    <s v="California"/>
    <x v="7"/>
    <x v="3"/>
    <x v="7"/>
    <x v="1"/>
  </r>
  <r>
    <x v="1261"/>
    <x v="2"/>
    <x v="1"/>
    <n v="187.1"/>
    <x v="1054"/>
    <d v="2025-02-18T00:00:00"/>
    <x v="46"/>
    <x v="1"/>
    <x v="1"/>
    <x v="2"/>
    <s v="California"/>
    <x v="8"/>
    <x v="3"/>
    <x v="7"/>
    <x v="1"/>
  </r>
  <r>
    <x v="1262"/>
    <x v="9"/>
    <x v="2"/>
    <n v="32"/>
    <x v="854"/>
    <d v="2025-02-18T00:00:00"/>
    <x v="49"/>
    <x v="1"/>
    <x v="0"/>
    <x v="0"/>
    <s v="California"/>
    <x v="8"/>
    <x v="1"/>
    <x v="7"/>
    <x v="1"/>
  </r>
  <r>
    <x v="1263"/>
    <x v="9"/>
    <x v="1"/>
    <n v="110.8"/>
    <x v="1055"/>
    <d v="2025-02-18T00:00:00"/>
    <x v="50"/>
    <x v="1"/>
    <x v="0"/>
    <x v="2"/>
    <s v="California"/>
    <x v="8"/>
    <x v="7"/>
    <x v="7"/>
    <x v="1"/>
  </r>
  <r>
    <x v="1264"/>
    <x v="10"/>
    <x v="15"/>
    <n v="36.1"/>
    <x v="1056"/>
    <d v="2025-02-18T00:00:00"/>
    <x v="47"/>
    <x v="2"/>
    <x v="0"/>
    <x v="1"/>
    <s v="California"/>
    <x v="8"/>
    <x v="2"/>
    <x v="7"/>
    <x v="2"/>
  </r>
  <r>
    <x v="1265"/>
    <x v="0"/>
    <x v="0"/>
    <n v="24.1"/>
    <x v="1057"/>
    <d v="2025-02-18T00:00:00"/>
    <x v="49"/>
    <x v="2"/>
    <x v="4"/>
    <x v="2"/>
    <s v="California"/>
    <x v="8"/>
    <x v="1"/>
    <x v="7"/>
    <x v="2"/>
  </r>
  <r>
    <x v="1266"/>
    <x v="19"/>
    <x v="2"/>
    <n v="30.5"/>
    <x v="1058"/>
    <d v="2025-02-18T00:00:00"/>
    <x v="49"/>
    <x v="1"/>
    <x v="1"/>
    <x v="0"/>
    <s v="California"/>
    <x v="8"/>
    <x v="1"/>
    <x v="7"/>
    <x v="1"/>
  </r>
  <r>
    <x v="1267"/>
    <x v="18"/>
    <x v="13"/>
    <n v="68.3"/>
    <x v="1059"/>
    <d v="2025-02-18T00:00:00"/>
    <x v="47"/>
    <x v="1"/>
    <x v="0"/>
    <x v="0"/>
    <s v="California"/>
    <x v="8"/>
    <x v="2"/>
    <x v="7"/>
    <x v="1"/>
  </r>
  <r>
    <x v="1268"/>
    <x v="7"/>
    <x v="2"/>
    <n v="43.3"/>
    <x v="1060"/>
    <d v="2025-02-18T00:00:00"/>
    <x v="56"/>
    <x v="2"/>
    <x v="0"/>
    <x v="0"/>
    <s v="California"/>
    <x v="17"/>
    <x v="5"/>
    <x v="7"/>
    <x v="2"/>
  </r>
  <r>
    <x v="1269"/>
    <x v="3"/>
    <x v="0"/>
    <n v="101.7"/>
    <x v="530"/>
    <d v="2025-02-18T00:00:00"/>
    <x v="47"/>
    <x v="2"/>
    <x v="0"/>
    <x v="1"/>
    <s v="California"/>
    <x v="17"/>
    <x v="2"/>
    <x v="7"/>
    <x v="2"/>
  </r>
  <r>
    <x v="1270"/>
    <x v="11"/>
    <x v="1"/>
    <n v="54.2"/>
    <x v="1061"/>
    <d v="2025-02-18T00:00:00"/>
    <x v="46"/>
    <x v="2"/>
    <x v="0"/>
    <x v="1"/>
    <s v="California"/>
    <x v="17"/>
    <x v="3"/>
    <x v="7"/>
    <x v="2"/>
  </r>
  <r>
    <x v="1271"/>
    <x v="16"/>
    <x v="1"/>
    <n v="51"/>
    <x v="1062"/>
    <d v="2025-02-18T00:00:00"/>
    <x v="50"/>
    <x v="1"/>
    <x v="1"/>
    <x v="0"/>
    <s v="California"/>
    <x v="26"/>
    <x v="7"/>
    <x v="7"/>
    <x v="1"/>
  </r>
  <r>
    <x v="1272"/>
    <x v="4"/>
    <x v="1"/>
    <n v="23.1"/>
    <x v="1063"/>
    <d v="2025-02-18T00:00:00"/>
    <x v="47"/>
    <x v="1"/>
    <x v="1"/>
    <x v="0"/>
    <s v="California"/>
    <x v="10"/>
    <x v="2"/>
    <x v="7"/>
    <x v="1"/>
  </r>
  <r>
    <x v="1273"/>
    <x v="12"/>
    <x v="13"/>
    <n v="60.1"/>
    <x v="116"/>
    <d v="2025-02-18T00:00:00"/>
    <x v="50"/>
    <x v="2"/>
    <x v="3"/>
    <x v="0"/>
    <s v="California"/>
    <x v="11"/>
    <x v="7"/>
    <x v="7"/>
    <x v="2"/>
  </r>
  <r>
    <x v="1274"/>
    <x v="2"/>
    <x v="3"/>
    <n v="87.5"/>
    <x v="1064"/>
    <d v="2025-02-18T00:00:00"/>
    <x v="49"/>
    <x v="2"/>
    <x v="0"/>
    <x v="1"/>
    <s v="California"/>
    <x v="11"/>
    <x v="1"/>
    <x v="7"/>
    <x v="2"/>
  </r>
  <r>
    <x v="1275"/>
    <x v="1"/>
    <x v="2"/>
    <n v="51"/>
    <x v="1065"/>
    <d v="2025-02-18T00:00:00"/>
    <x v="46"/>
    <x v="2"/>
    <x v="1"/>
    <x v="0"/>
    <s v="California"/>
    <x v="11"/>
    <x v="3"/>
    <x v="7"/>
    <x v="2"/>
  </r>
  <r>
    <x v="1276"/>
    <x v="8"/>
    <x v="12"/>
    <n v="19.2"/>
    <x v="714"/>
    <d v="2025-02-18T00:00:00"/>
    <x v="49"/>
    <x v="2"/>
    <x v="0"/>
    <x v="0"/>
    <s v="California"/>
    <x v="11"/>
    <x v="1"/>
    <x v="7"/>
    <x v="2"/>
  </r>
  <r>
    <x v="1277"/>
    <x v="5"/>
    <x v="8"/>
    <n v="26.5"/>
    <x v="1066"/>
    <d v="2025-02-18T00:00:00"/>
    <x v="46"/>
    <x v="0"/>
    <x v="3"/>
    <x v="2"/>
    <s v="California"/>
    <x v="11"/>
    <x v="3"/>
    <x v="7"/>
    <x v="0"/>
  </r>
  <r>
    <x v="1278"/>
    <x v="2"/>
    <x v="1"/>
    <n v="220.3"/>
    <x v="1067"/>
    <d v="2025-02-18T00:00:00"/>
    <x v="46"/>
    <x v="2"/>
    <x v="1"/>
    <x v="4"/>
    <s v="California"/>
    <x v="53"/>
    <x v="3"/>
    <x v="7"/>
    <x v="2"/>
  </r>
  <r>
    <x v="1279"/>
    <x v="8"/>
    <x v="2"/>
    <n v="45.7"/>
    <x v="1068"/>
    <d v="2025-02-18T00:00:00"/>
    <x v="46"/>
    <x v="2"/>
    <x v="4"/>
    <x v="0"/>
    <s v="California"/>
    <x v="30"/>
    <x v="3"/>
    <x v="7"/>
    <x v="2"/>
  </r>
  <r>
    <x v="1280"/>
    <x v="5"/>
    <x v="9"/>
    <n v="47.1"/>
    <x v="1069"/>
    <d v="2025-02-18T00:00:00"/>
    <x v="56"/>
    <x v="2"/>
    <x v="3"/>
    <x v="0"/>
    <s v="California"/>
    <x v="13"/>
    <x v="5"/>
    <x v="7"/>
    <x v="2"/>
  </r>
  <r>
    <x v="1281"/>
    <x v="1"/>
    <x v="9"/>
    <n v="81.7"/>
    <x v="856"/>
    <d v="2025-02-18T00:00:00"/>
    <x v="46"/>
    <x v="2"/>
    <x v="0"/>
    <x v="2"/>
    <s v="California"/>
    <x v="21"/>
    <x v="3"/>
    <x v="7"/>
    <x v="2"/>
  </r>
  <r>
    <x v="1282"/>
    <x v="6"/>
    <x v="7"/>
    <n v="97.8"/>
    <x v="1070"/>
    <d v="2025-02-18T00:00:00"/>
    <x v="50"/>
    <x v="1"/>
    <x v="1"/>
    <x v="1"/>
    <s v="California"/>
    <x v="21"/>
    <x v="7"/>
    <x v="7"/>
    <x v="1"/>
  </r>
  <r>
    <x v="1283"/>
    <x v="6"/>
    <x v="2"/>
    <n v="42.4"/>
    <x v="1071"/>
    <d v="2025-02-18T00:00:00"/>
    <x v="46"/>
    <x v="2"/>
    <x v="0"/>
    <x v="2"/>
    <s v="California"/>
    <x v="54"/>
    <x v="3"/>
    <x v="7"/>
    <x v="2"/>
  </r>
  <r>
    <x v="1284"/>
    <x v="2"/>
    <x v="7"/>
    <n v="74.5"/>
    <x v="1072"/>
    <d v="2025-02-18T00:00:00"/>
    <x v="46"/>
    <x v="1"/>
    <x v="2"/>
    <x v="1"/>
    <s v="California"/>
    <x v="1"/>
    <x v="3"/>
    <x v="7"/>
    <x v="1"/>
  </r>
  <r>
    <x v="1285"/>
    <x v="17"/>
    <x v="13"/>
    <n v="47.4"/>
    <x v="1073"/>
    <d v="2025-02-18T00:00:00"/>
    <x v="46"/>
    <x v="1"/>
    <x v="1"/>
    <x v="0"/>
    <s v="California"/>
    <x v="1"/>
    <x v="3"/>
    <x v="7"/>
    <x v="1"/>
  </r>
  <r>
    <x v="1286"/>
    <x v="14"/>
    <x v="2"/>
    <n v="17.3"/>
    <x v="1074"/>
    <d v="2025-02-19T00:00:00"/>
    <x v="56"/>
    <x v="1"/>
    <x v="2"/>
    <x v="2"/>
    <s v="California"/>
    <x v="1"/>
    <x v="2"/>
    <x v="7"/>
    <x v="1"/>
  </r>
  <r>
    <x v="1287"/>
    <x v="12"/>
    <x v="12"/>
    <n v="77.900000000000006"/>
    <x v="1075"/>
    <d v="2025-02-19T00:00:00"/>
    <x v="49"/>
    <x v="1"/>
    <x v="1"/>
    <x v="0"/>
    <s v="California"/>
    <x v="2"/>
    <x v="3"/>
    <x v="7"/>
    <x v="1"/>
  </r>
  <r>
    <x v="1288"/>
    <x v="8"/>
    <x v="0"/>
    <n v="29.1"/>
    <x v="1076"/>
    <d v="2025-02-19T00:00:00"/>
    <x v="56"/>
    <x v="1"/>
    <x v="0"/>
    <x v="2"/>
    <s v="California"/>
    <x v="50"/>
    <x v="2"/>
    <x v="7"/>
    <x v="1"/>
  </r>
  <r>
    <x v="1289"/>
    <x v="8"/>
    <x v="0"/>
    <n v="49"/>
    <x v="268"/>
    <d v="2025-02-19T00:00:00"/>
    <x v="49"/>
    <x v="1"/>
    <x v="1"/>
    <x v="0"/>
    <s v="California"/>
    <x v="3"/>
    <x v="3"/>
    <x v="7"/>
    <x v="1"/>
  </r>
  <r>
    <x v="1290"/>
    <x v="8"/>
    <x v="13"/>
    <n v="21.1"/>
    <x v="1077"/>
    <d v="2025-02-19T00:00:00"/>
    <x v="52"/>
    <x v="1"/>
    <x v="0"/>
    <x v="2"/>
    <s v="California"/>
    <x v="3"/>
    <x v="6"/>
    <x v="7"/>
    <x v="1"/>
  </r>
  <r>
    <x v="1291"/>
    <x v="4"/>
    <x v="10"/>
    <n v="36.9"/>
    <x v="1078"/>
    <d v="2025-02-19T00:00:00"/>
    <x v="46"/>
    <x v="2"/>
    <x v="0"/>
    <x v="0"/>
    <s v="California"/>
    <x v="3"/>
    <x v="7"/>
    <x v="7"/>
    <x v="2"/>
  </r>
  <r>
    <x v="1292"/>
    <x v="1"/>
    <x v="7"/>
    <n v="92.6"/>
    <x v="1079"/>
    <d v="2025-02-19T00:00:00"/>
    <x v="54"/>
    <x v="1"/>
    <x v="4"/>
    <x v="2"/>
    <s v="California"/>
    <x v="3"/>
    <x v="0"/>
    <x v="7"/>
    <x v="1"/>
  </r>
  <r>
    <x v="1293"/>
    <x v="10"/>
    <x v="1"/>
    <n v="38"/>
    <x v="998"/>
    <d v="2025-02-19T00:00:00"/>
    <x v="49"/>
    <x v="1"/>
    <x v="1"/>
    <x v="1"/>
    <s v="California"/>
    <x v="3"/>
    <x v="3"/>
    <x v="7"/>
    <x v="1"/>
  </r>
  <r>
    <x v="1294"/>
    <x v="5"/>
    <x v="2"/>
    <n v="54.8"/>
    <x v="1080"/>
    <d v="2025-02-19T00:00:00"/>
    <x v="55"/>
    <x v="0"/>
    <x v="0"/>
    <x v="1"/>
    <s v="California"/>
    <x v="3"/>
    <x v="5"/>
    <x v="7"/>
    <x v="0"/>
  </r>
  <r>
    <x v="1295"/>
    <x v="10"/>
    <x v="4"/>
    <n v="56.8"/>
    <x v="1081"/>
    <d v="2025-02-19T00:00:00"/>
    <x v="47"/>
    <x v="1"/>
    <x v="1"/>
    <x v="0"/>
    <s v="California"/>
    <x v="3"/>
    <x v="1"/>
    <x v="7"/>
    <x v="1"/>
  </r>
  <r>
    <x v="1296"/>
    <x v="11"/>
    <x v="40"/>
    <n v="47.2"/>
    <x v="1082"/>
    <d v="2025-02-19T00:00:00"/>
    <x v="56"/>
    <x v="2"/>
    <x v="1"/>
    <x v="0"/>
    <s v="California"/>
    <x v="3"/>
    <x v="2"/>
    <x v="7"/>
    <x v="2"/>
  </r>
  <r>
    <x v="1297"/>
    <x v="7"/>
    <x v="13"/>
    <n v="45.1"/>
    <x v="1083"/>
    <d v="2025-02-19T00:00:00"/>
    <x v="49"/>
    <x v="2"/>
    <x v="2"/>
    <x v="0"/>
    <s v="California"/>
    <x v="43"/>
    <x v="3"/>
    <x v="7"/>
    <x v="2"/>
  </r>
  <r>
    <x v="1298"/>
    <x v="4"/>
    <x v="4"/>
    <n v="25.2"/>
    <x v="982"/>
    <d v="2025-02-19T00:00:00"/>
    <x v="54"/>
    <x v="2"/>
    <x v="2"/>
    <x v="0"/>
    <s v="California"/>
    <x v="16"/>
    <x v="0"/>
    <x v="7"/>
    <x v="2"/>
  </r>
  <r>
    <x v="1299"/>
    <x v="8"/>
    <x v="0"/>
    <n v="22"/>
    <x v="1084"/>
    <d v="2025-02-19T00:00:00"/>
    <x v="49"/>
    <x v="2"/>
    <x v="0"/>
    <x v="0"/>
    <s v="California"/>
    <x v="5"/>
    <x v="3"/>
    <x v="7"/>
    <x v="2"/>
  </r>
  <r>
    <x v="1300"/>
    <x v="6"/>
    <x v="1"/>
    <n v="42.2"/>
    <x v="533"/>
    <d v="2025-02-19T00:00:00"/>
    <x v="49"/>
    <x v="2"/>
    <x v="1"/>
    <x v="1"/>
    <s v="California"/>
    <x v="23"/>
    <x v="3"/>
    <x v="7"/>
    <x v="2"/>
  </r>
  <r>
    <x v="1301"/>
    <x v="13"/>
    <x v="2"/>
    <n v="20.5"/>
    <x v="1085"/>
    <d v="2025-02-19T00:00:00"/>
    <x v="49"/>
    <x v="1"/>
    <x v="0"/>
    <x v="1"/>
    <s v="California"/>
    <x v="6"/>
    <x v="3"/>
    <x v="7"/>
    <x v="1"/>
  </r>
  <r>
    <x v="1302"/>
    <x v="2"/>
    <x v="0"/>
    <n v="190.4"/>
    <x v="1086"/>
    <d v="2025-02-19T00:00:00"/>
    <x v="54"/>
    <x v="1"/>
    <x v="1"/>
    <x v="4"/>
    <s v="California"/>
    <x v="6"/>
    <x v="0"/>
    <x v="7"/>
    <x v="1"/>
  </r>
  <r>
    <x v="1303"/>
    <x v="2"/>
    <x v="0"/>
    <n v="121.9"/>
    <x v="1087"/>
    <d v="2025-02-19T00:00:00"/>
    <x v="47"/>
    <x v="2"/>
    <x v="1"/>
    <x v="2"/>
    <s v="California"/>
    <x v="6"/>
    <x v="1"/>
    <x v="7"/>
    <x v="2"/>
  </r>
  <r>
    <x v="1304"/>
    <x v="2"/>
    <x v="13"/>
    <n v="149.19999999999999"/>
    <x v="1088"/>
    <d v="2025-02-19T00:00:00"/>
    <x v="49"/>
    <x v="2"/>
    <x v="2"/>
    <x v="2"/>
    <s v="California"/>
    <x v="7"/>
    <x v="3"/>
    <x v="7"/>
    <x v="2"/>
  </r>
  <r>
    <x v="1305"/>
    <x v="2"/>
    <x v="0"/>
    <n v="54.1"/>
    <x v="1089"/>
    <d v="2025-02-19T00:00:00"/>
    <x v="58"/>
    <x v="2"/>
    <x v="2"/>
    <x v="2"/>
    <s v="California"/>
    <x v="7"/>
    <x v="8"/>
    <x v="7"/>
    <x v="2"/>
  </r>
  <r>
    <x v="1306"/>
    <x v="5"/>
    <x v="1"/>
    <n v="27.4"/>
    <x v="1090"/>
    <d v="2025-02-19T00:00:00"/>
    <x v="47"/>
    <x v="1"/>
    <x v="1"/>
    <x v="0"/>
    <s v="California"/>
    <x v="8"/>
    <x v="1"/>
    <x v="7"/>
    <x v="1"/>
  </r>
  <r>
    <x v="1307"/>
    <x v="0"/>
    <x v="15"/>
    <n v="30.4"/>
    <x v="1091"/>
    <d v="2025-02-19T00:00:00"/>
    <x v="49"/>
    <x v="2"/>
    <x v="0"/>
    <x v="2"/>
    <s v="California"/>
    <x v="8"/>
    <x v="3"/>
    <x v="7"/>
    <x v="2"/>
  </r>
  <r>
    <x v="1308"/>
    <x v="12"/>
    <x v="2"/>
    <n v="46.2"/>
    <x v="209"/>
    <d v="2025-02-19T00:00:00"/>
    <x v="47"/>
    <x v="1"/>
    <x v="2"/>
    <x v="1"/>
    <s v="California"/>
    <x v="17"/>
    <x v="1"/>
    <x v="7"/>
    <x v="1"/>
  </r>
  <r>
    <x v="1309"/>
    <x v="7"/>
    <x v="8"/>
    <n v="78.599999999999994"/>
    <x v="1092"/>
    <d v="2025-02-19T00:00:00"/>
    <x v="55"/>
    <x v="1"/>
    <x v="3"/>
    <x v="0"/>
    <s v="California"/>
    <x v="17"/>
    <x v="5"/>
    <x v="7"/>
    <x v="1"/>
  </r>
  <r>
    <x v="1310"/>
    <x v="17"/>
    <x v="7"/>
    <n v="25.9"/>
    <x v="155"/>
    <d v="2025-02-19T00:00:00"/>
    <x v="51"/>
    <x v="1"/>
    <x v="4"/>
    <x v="0"/>
    <s v="California"/>
    <x v="9"/>
    <x v="4"/>
    <x v="7"/>
    <x v="1"/>
  </r>
  <r>
    <x v="1311"/>
    <x v="6"/>
    <x v="0"/>
    <n v="134.80000000000001"/>
    <x v="1093"/>
    <d v="2025-02-19T00:00:00"/>
    <x v="47"/>
    <x v="1"/>
    <x v="2"/>
    <x v="2"/>
    <s v="California"/>
    <x v="9"/>
    <x v="1"/>
    <x v="7"/>
    <x v="1"/>
  </r>
  <r>
    <x v="1312"/>
    <x v="15"/>
    <x v="9"/>
    <n v="43.1"/>
    <x v="1094"/>
    <d v="2025-02-19T00:00:00"/>
    <x v="47"/>
    <x v="2"/>
    <x v="0"/>
    <x v="0"/>
    <s v="California"/>
    <x v="11"/>
    <x v="1"/>
    <x v="7"/>
    <x v="2"/>
  </r>
  <r>
    <x v="1313"/>
    <x v="2"/>
    <x v="1"/>
    <n v="215.6"/>
    <x v="348"/>
    <d v="2025-02-19T00:00:00"/>
    <x v="49"/>
    <x v="2"/>
    <x v="2"/>
    <x v="0"/>
    <s v="California"/>
    <x v="18"/>
    <x v="3"/>
    <x v="7"/>
    <x v="2"/>
  </r>
  <r>
    <x v="1314"/>
    <x v="6"/>
    <x v="1"/>
    <n v="80.7"/>
    <x v="1095"/>
    <d v="2025-02-19T00:00:00"/>
    <x v="56"/>
    <x v="2"/>
    <x v="3"/>
    <x v="0"/>
    <s v="California"/>
    <x v="18"/>
    <x v="2"/>
    <x v="7"/>
    <x v="2"/>
  </r>
  <r>
    <x v="1315"/>
    <x v="10"/>
    <x v="3"/>
    <n v="20.6"/>
    <x v="1096"/>
    <d v="2025-02-19T00:00:00"/>
    <x v="54"/>
    <x v="0"/>
    <x v="2"/>
    <x v="1"/>
    <s v="California"/>
    <x v="19"/>
    <x v="0"/>
    <x v="7"/>
    <x v="0"/>
  </r>
  <r>
    <x v="1316"/>
    <x v="12"/>
    <x v="2"/>
    <n v="37.1"/>
    <x v="1097"/>
    <d v="2025-02-19T00:00:00"/>
    <x v="49"/>
    <x v="2"/>
    <x v="0"/>
    <x v="0"/>
    <s v="California"/>
    <x v="52"/>
    <x v="3"/>
    <x v="7"/>
    <x v="2"/>
  </r>
  <r>
    <x v="1317"/>
    <x v="12"/>
    <x v="0"/>
    <n v="104.8"/>
    <x v="661"/>
    <d v="2025-02-20T00:00:00"/>
    <x v="56"/>
    <x v="2"/>
    <x v="0"/>
    <x v="0"/>
    <s v="California"/>
    <x v="13"/>
    <x v="1"/>
    <x v="7"/>
    <x v="2"/>
  </r>
  <r>
    <x v="1318"/>
    <x v="8"/>
    <x v="1"/>
    <n v="59"/>
    <x v="1098"/>
    <d v="2025-02-20T00:00:00"/>
    <x v="47"/>
    <x v="1"/>
    <x v="1"/>
    <x v="0"/>
    <s v="California"/>
    <x v="21"/>
    <x v="3"/>
    <x v="7"/>
    <x v="1"/>
  </r>
  <r>
    <x v="1319"/>
    <x v="8"/>
    <x v="1"/>
    <n v="32.299999999999997"/>
    <x v="1099"/>
    <d v="2025-02-20T00:00:00"/>
    <x v="47"/>
    <x v="1"/>
    <x v="0"/>
    <x v="2"/>
    <s v="California"/>
    <x v="21"/>
    <x v="3"/>
    <x v="7"/>
    <x v="1"/>
  </r>
  <r>
    <x v="1320"/>
    <x v="8"/>
    <x v="12"/>
    <n v="28.9"/>
    <x v="446"/>
    <d v="2025-02-20T00:00:00"/>
    <x v="53"/>
    <x v="1"/>
    <x v="0"/>
    <x v="0"/>
    <s v="California"/>
    <x v="1"/>
    <x v="6"/>
    <x v="7"/>
    <x v="1"/>
  </r>
  <r>
    <x v="1321"/>
    <x v="0"/>
    <x v="1"/>
    <n v="29.6"/>
    <x v="1100"/>
    <d v="2025-02-20T00:00:00"/>
    <x v="56"/>
    <x v="1"/>
    <x v="0"/>
    <x v="0"/>
    <s v="California"/>
    <x v="1"/>
    <x v="1"/>
    <x v="7"/>
    <x v="1"/>
  </r>
  <r>
    <x v="1322"/>
    <x v="0"/>
    <x v="9"/>
    <n v="29.4"/>
    <x v="926"/>
    <d v="2025-02-20T00:00:00"/>
    <x v="55"/>
    <x v="2"/>
    <x v="0"/>
    <x v="0"/>
    <s v="California"/>
    <x v="1"/>
    <x v="2"/>
    <x v="7"/>
    <x v="2"/>
  </r>
  <r>
    <x v="1323"/>
    <x v="1"/>
    <x v="1"/>
    <n v="40.6"/>
    <x v="1101"/>
    <d v="2025-02-20T00:00:00"/>
    <x v="47"/>
    <x v="1"/>
    <x v="0"/>
    <x v="4"/>
    <s v="California"/>
    <x v="2"/>
    <x v="3"/>
    <x v="7"/>
    <x v="1"/>
  </r>
  <r>
    <x v="1324"/>
    <x v="0"/>
    <x v="2"/>
    <n v="32.5"/>
    <x v="647"/>
    <d v="2025-02-20T00:00:00"/>
    <x v="47"/>
    <x v="1"/>
    <x v="3"/>
    <x v="2"/>
    <s v="California"/>
    <x v="22"/>
    <x v="3"/>
    <x v="7"/>
    <x v="1"/>
  </r>
  <r>
    <x v="1325"/>
    <x v="15"/>
    <x v="0"/>
    <n v="26.2"/>
    <x v="1102"/>
    <d v="2025-02-20T00:00:00"/>
    <x v="56"/>
    <x v="1"/>
    <x v="2"/>
    <x v="0"/>
    <s v="California"/>
    <x v="55"/>
    <x v="1"/>
    <x v="7"/>
    <x v="1"/>
  </r>
  <r>
    <x v="1326"/>
    <x v="10"/>
    <x v="17"/>
    <n v="44"/>
    <x v="1103"/>
    <d v="2025-02-20T00:00:00"/>
    <x v="52"/>
    <x v="1"/>
    <x v="4"/>
    <x v="0"/>
    <s v="California"/>
    <x v="3"/>
    <x v="4"/>
    <x v="7"/>
    <x v="1"/>
  </r>
  <r>
    <x v="1327"/>
    <x v="7"/>
    <x v="12"/>
    <n v="65.599999999999994"/>
    <x v="1104"/>
    <d v="2025-02-20T00:00:00"/>
    <x v="47"/>
    <x v="2"/>
    <x v="1"/>
    <x v="1"/>
    <s v="California"/>
    <x v="3"/>
    <x v="3"/>
    <x v="7"/>
    <x v="2"/>
  </r>
  <r>
    <x v="1328"/>
    <x v="5"/>
    <x v="4"/>
    <n v="32.6"/>
    <x v="1105"/>
    <d v="2025-02-20T00:00:00"/>
    <x v="47"/>
    <x v="1"/>
    <x v="4"/>
    <x v="0"/>
    <s v="California"/>
    <x v="3"/>
    <x v="3"/>
    <x v="7"/>
    <x v="1"/>
  </r>
  <r>
    <x v="1329"/>
    <x v="16"/>
    <x v="1"/>
    <n v="88.7"/>
    <x v="633"/>
    <d v="2025-02-20T00:00:00"/>
    <x v="47"/>
    <x v="0"/>
    <x v="3"/>
    <x v="2"/>
    <s v="California"/>
    <x v="3"/>
    <x v="3"/>
    <x v="7"/>
    <x v="0"/>
  </r>
  <r>
    <x v="1330"/>
    <x v="4"/>
    <x v="1"/>
    <n v="21.3"/>
    <x v="440"/>
    <d v="2025-02-20T00:00:00"/>
    <x v="47"/>
    <x v="1"/>
    <x v="0"/>
    <x v="0"/>
    <s v="California"/>
    <x v="3"/>
    <x v="3"/>
    <x v="7"/>
    <x v="1"/>
  </r>
  <r>
    <x v="1331"/>
    <x v="4"/>
    <x v="13"/>
    <n v="50.6"/>
    <x v="80"/>
    <d v="2025-02-20T00:00:00"/>
    <x v="54"/>
    <x v="2"/>
    <x v="2"/>
    <x v="0"/>
    <s v="California"/>
    <x v="3"/>
    <x v="5"/>
    <x v="7"/>
    <x v="2"/>
  </r>
  <r>
    <x v="1332"/>
    <x v="9"/>
    <x v="38"/>
    <n v="86.9"/>
    <x v="1106"/>
    <d v="2025-02-20T00:00:00"/>
    <x v="55"/>
    <x v="2"/>
    <x v="0"/>
    <x v="1"/>
    <s v="California"/>
    <x v="3"/>
    <x v="2"/>
    <x v="7"/>
    <x v="2"/>
  </r>
  <r>
    <x v="1333"/>
    <x v="11"/>
    <x v="2"/>
    <n v="31.8"/>
    <x v="233"/>
    <d v="2025-02-20T00:00:00"/>
    <x v="56"/>
    <x v="1"/>
    <x v="0"/>
    <x v="2"/>
    <s v="California"/>
    <x v="3"/>
    <x v="1"/>
    <x v="7"/>
    <x v="1"/>
  </r>
  <r>
    <x v="1334"/>
    <x v="8"/>
    <x v="0"/>
    <n v="19"/>
    <x v="134"/>
    <d v="2025-02-20T00:00:00"/>
    <x v="47"/>
    <x v="2"/>
    <x v="0"/>
    <x v="2"/>
    <s v="California"/>
    <x v="3"/>
    <x v="3"/>
    <x v="7"/>
    <x v="2"/>
  </r>
  <r>
    <x v="1335"/>
    <x v="5"/>
    <x v="0"/>
    <n v="54.5"/>
    <x v="1107"/>
    <d v="2025-02-20T00:00:00"/>
    <x v="56"/>
    <x v="1"/>
    <x v="0"/>
    <x v="0"/>
    <s v="California"/>
    <x v="3"/>
    <x v="1"/>
    <x v="7"/>
    <x v="1"/>
  </r>
  <r>
    <x v="1336"/>
    <x v="9"/>
    <x v="9"/>
    <n v="68.900000000000006"/>
    <x v="1108"/>
    <d v="2025-02-20T00:00:00"/>
    <x v="56"/>
    <x v="1"/>
    <x v="4"/>
    <x v="1"/>
    <s v="California"/>
    <x v="3"/>
    <x v="1"/>
    <x v="7"/>
    <x v="1"/>
  </r>
  <r>
    <x v="1337"/>
    <x v="6"/>
    <x v="2"/>
    <n v="84"/>
    <x v="816"/>
    <d v="2025-02-20T00:00:00"/>
    <x v="47"/>
    <x v="1"/>
    <x v="1"/>
    <x v="4"/>
    <s v="California"/>
    <x v="16"/>
    <x v="3"/>
    <x v="7"/>
    <x v="1"/>
  </r>
  <r>
    <x v="1338"/>
    <x v="15"/>
    <x v="8"/>
    <n v="23.1"/>
    <x v="827"/>
    <d v="2025-02-20T00:00:00"/>
    <x v="51"/>
    <x v="1"/>
    <x v="0"/>
    <x v="2"/>
    <s v="California"/>
    <x v="23"/>
    <x v="0"/>
    <x v="7"/>
    <x v="1"/>
  </r>
  <r>
    <x v="1339"/>
    <x v="7"/>
    <x v="1"/>
    <n v="62.4"/>
    <x v="1109"/>
    <d v="2025-02-20T00:00:00"/>
    <x v="47"/>
    <x v="2"/>
    <x v="0"/>
    <x v="1"/>
    <s v="California"/>
    <x v="6"/>
    <x v="3"/>
    <x v="7"/>
    <x v="2"/>
  </r>
  <r>
    <x v="1340"/>
    <x v="6"/>
    <x v="4"/>
    <n v="40.700000000000003"/>
    <x v="1110"/>
    <d v="2025-02-20T00:00:00"/>
    <x v="56"/>
    <x v="1"/>
    <x v="1"/>
    <x v="2"/>
    <s v="California"/>
    <x v="6"/>
    <x v="1"/>
    <x v="7"/>
    <x v="1"/>
  </r>
  <r>
    <x v="1341"/>
    <x v="6"/>
    <x v="0"/>
    <n v="49.6"/>
    <x v="1111"/>
    <d v="2025-02-20T00:00:00"/>
    <x v="55"/>
    <x v="1"/>
    <x v="2"/>
    <x v="0"/>
    <s v="California"/>
    <x v="7"/>
    <x v="2"/>
    <x v="7"/>
    <x v="1"/>
  </r>
  <r>
    <x v="1342"/>
    <x v="7"/>
    <x v="41"/>
    <n v="66.599999999999994"/>
    <x v="1112"/>
    <d v="2025-02-20T00:00:00"/>
    <x v="55"/>
    <x v="1"/>
    <x v="2"/>
    <x v="0"/>
    <s v="California"/>
    <x v="8"/>
    <x v="2"/>
    <x v="7"/>
    <x v="1"/>
  </r>
  <r>
    <x v="1343"/>
    <x v="8"/>
    <x v="2"/>
    <n v="26.4"/>
    <x v="1113"/>
    <d v="2025-02-20T00:00:00"/>
    <x v="47"/>
    <x v="2"/>
    <x v="1"/>
    <x v="1"/>
    <s v="California"/>
    <x v="8"/>
    <x v="3"/>
    <x v="7"/>
    <x v="2"/>
  </r>
  <r>
    <x v="1344"/>
    <x v="0"/>
    <x v="1"/>
    <n v="17.2"/>
    <x v="1114"/>
    <d v="2025-02-20T00:00:00"/>
    <x v="55"/>
    <x v="1"/>
    <x v="2"/>
    <x v="1"/>
    <s v="California"/>
    <x v="8"/>
    <x v="2"/>
    <x v="7"/>
    <x v="1"/>
  </r>
  <r>
    <x v="1345"/>
    <x v="5"/>
    <x v="8"/>
    <n v="58.1"/>
    <x v="1115"/>
    <d v="2025-02-20T00:00:00"/>
    <x v="55"/>
    <x v="2"/>
    <x v="4"/>
    <x v="0"/>
    <s v="California"/>
    <x v="8"/>
    <x v="2"/>
    <x v="7"/>
    <x v="2"/>
  </r>
  <r>
    <x v="1346"/>
    <x v="15"/>
    <x v="12"/>
    <n v="31.5"/>
    <x v="624"/>
    <d v="2025-02-20T00:00:00"/>
    <x v="55"/>
    <x v="2"/>
    <x v="4"/>
    <x v="4"/>
    <s v="California"/>
    <x v="8"/>
    <x v="2"/>
    <x v="7"/>
    <x v="2"/>
  </r>
  <r>
    <x v="1347"/>
    <x v="0"/>
    <x v="0"/>
    <n v="27.1"/>
    <x v="1116"/>
    <d v="2025-02-20T00:00:00"/>
    <x v="56"/>
    <x v="2"/>
    <x v="0"/>
    <x v="1"/>
    <s v="California"/>
    <x v="17"/>
    <x v="1"/>
    <x v="7"/>
    <x v="2"/>
  </r>
  <r>
    <x v="1348"/>
    <x v="18"/>
    <x v="12"/>
    <n v="28.5"/>
    <x v="717"/>
    <d v="2025-02-20T00:00:00"/>
    <x v="56"/>
    <x v="1"/>
    <x v="1"/>
    <x v="2"/>
    <s v="California"/>
    <x v="9"/>
    <x v="1"/>
    <x v="7"/>
    <x v="1"/>
  </r>
  <r>
    <x v="1349"/>
    <x v="10"/>
    <x v="0"/>
    <n v="40.5"/>
    <x v="1117"/>
    <d v="2025-02-21T00:00:00"/>
    <x v="55"/>
    <x v="3"/>
    <x v="2"/>
    <x v="0"/>
    <s v="California"/>
    <x v="9"/>
    <x v="1"/>
    <x v="7"/>
    <x v="3"/>
  </r>
  <r>
    <x v="1350"/>
    <x v="2"/>
    <x v="2"/>
    <n v="77.900000000000006"/>
    <x v="1118"/>
    <d v="2025-02-21T00:00:00"/>
    <x v="51"/>
    <x v="2"/>
    <x v="1"/>
    <x v="2"/>
    <s v="California"/>
    <x v="19"/>
    <x v="5"/>
    <x v="7"/>
    <x v="2"/>
  </r>
  <r>
    <x v="1351"/>
    <x v="18"/>
    <x v="12"/>
    <n v="37.1"/>
    <x v="1119"/>
    <d v="2025-02-21T00:00:00"/>
    <x v="55"/>
    <x v="1"/>
    <x v="4"/>
    <x v="2"/>
    <s v="California"/>
    <x v="19"/>
    <x v="1"/>
    <x v="7"/>
    <x v="1"/>
  </r>
  <r>
    <x v="1352"/>
    <x v="16"/>
    <x v="2"/>
    <n v="51.6"/>
    <x v="1120"/>
    <d v="2025-02-21T00:00:00"/>
    <x v="59"/>
    <x v="2"/>
    <x v="0"/>
    <x v="4"/>
    <s v="California"/>
    <x v="19"/>
    <x v="9"/>
    <x v="7"/>
    <x v="2"/>
  </r>
  <r>
    <x v="1353"/>
    <x v="7"/>
    <x v="2"/>
    <n v="98"/>
    <x v="1121"/>
    <d v="2025-02-21T00:00:00"/>
    <x v="56"/>
    <x v="1"/>
    <x v="1"/>
    <x v="1"/>
    <s v="California"/>
    <x v="19"/>
    <x v="3"/>
    <x v="7"/>
    <x v="1"/>
  </r>
  <r>
    <x v="1354"/>
    <x v="6"/>
    <x v="3"/>
    <n v="41.4"/>
    <x v="1122"/>
    <d v="2025-02-21T00:00:00"/>
    <x v="56"/>
    <x v="1"/>
    <x v="1"/>
    <x v="0"/>
    <s v="California"/>
    <x v="20"/>
    <x v="3"/>
    <x v="7"/>
    <x v="1"/>
  </r>
  <r>
    <x v="1355"/>
    <x v="11"/>
    <x v="8"/>
    <n v="34"/>
    <x v="1123"/>
    <d v="2025-02-21T00:00:00"/>
    <x v="52"/>
    <x v="2"/>
    <x v="0"/>
    <x v="2"/>
    <s v="California"/>
    <x v="52"/>
    <x v="0"/>
    <x v="7"/>
    <x v="2"/>
  </r>
  <r>
    <x v="1356"/>
    <x v="6"/>
    <x v="0"/>
    <n v="66.3"/>
    <x v="1124"/>
    <d v="2025-02-21T00:00:00"/>
    <x v="56"/>
    <x v="2"/>
    <x v="1"/>
    <x v="0"/>
    <s v="California"/>
    <x v="13"/>
    <x v="3"/>
    <x v="7"/>
    <x v="2"/>
  </r>
  <r>
    <x v="1357"/>
    <x v="7"/>
    <x v="0"/>
    <n v="33.5"/>
    <x v="253"/>
    <d v="2025-02-21T00:00:00"/>
    <x v="51"/>
    <x v="1"/>
    <x v="2"/>
    <x v="0"/>
    <s v="California"/>
    <x v="13"/>
    <x v="5"/>
    <x v="7"/>
    <x v="1"/>
  </r>
  <r>
    <x v="1358"/>
    <x v="12"/>
    <x v="1"/>
    <n v="70.8"/>
    <x v="932"/>
    <d v="2025-02-21T00:00:00"/>
    <x v="56"/>
    <x v="0"/>
    <x v="0"/>
    <x v="0"/>
    <s v="California"/>
    <x v="28"/>
    <x v="3"/>
    <x v="7"/>
    <x v="0"/>
  </r>
  <r>
    <x v="1359"/>
    <x v="6"/>
    <x v="1"/>
    <n v="127.6"/>
    <x v="281"/>
    <d v="2025-02-21T00:00:00"/>
    <x v="56"/>
    <x v="1"/>
    <x v="0"/>
    <x v="0"/>
    <s v="California"/>
    <x v="21"/>
    <x v="3"/>
    <x v="7"/>
    <x v="1"/>
  </r>
  <r>
    <x v="1360"/>
    <x v="6"/>
    <x v="2"/>
    <n v="95.9"/>
    <x v="1125"/>
    <d v="2025-02-21T00:00:00"/>
    <x v="56"/>
    <x v="2"/>
    <x v="1"/>
    <x v="1"/>
    <s v="California"/>
    <x v="21"/>
    <x v="3"/>
    <x v="7"/>
    <x v="2"/>
  </r>
  <r>
    <x v="1361"/>
    <x v="2"/>
    <x v="1"/>
    <n v="78.099999999999994"/>
    <x v="1126"/>
    <d v="2025-02-21T00:00:00"/>
    <x v="56"/>
    <x v="1"/>
    <x v="0"/>
    <x v="0"/>
    <s v="California"/>
    <x v="1"/>
    <x v="3"/>
    <x v="7"/>
    <x v="1"/>
  </r>
  <r>
    <x v="1362"/>
    <x v="13"/>
    <x v="1"/>
    <n v="43.2"/>
    <x v="781"/>
    <d v="2025-02-21T00:00:00"/>
    <x v="56"/>
    <x v="0"/>
    <x v="1"/>
    <x v="1"/>
    <s v="California"/>
    <x v="1"/>
    <x v="3"/>
    <x v="7"/>
    <x v="0"/>
  </r>
  <r>
    <x v="1363"/>
    <x v="8"/>
    <x v="12"/>
    <n v="28.4"/>
    <x v="1127"/>
    <d v="2025-02-21T00:00:00"/>
    <x v="53"/>
    <x v="1"/>
    <x v="2"/>
    <x v="0"/>
    <s v="California"/>
    <x v="3"/>
    <x v="4"/>
    <x v="7"/>
    <x v="1"/>
  </r>
  <r>
    <x v="1364"/>
    <x v="2"/>
    <x v="1"/>
    <n v="81.7"/>
    <x v="1128"/>
    <d v="2025-02-21T00:00:00"/>
    <x v="47"/>
    <x v="1"/>
    <x v="0"/>
    <x v="0"/>
    <s v="California"/>
    <x v="3"/>
    <x v="7"/>
    <x v="7"/>
    <x v="1"/>
  </r>
  <r>
    <x v="1365"/>
    <x v="18"/>
    <x v="1"/>
    <n v="56.7"/>
    <x v="1129"/>
    <d v="2025-02-21T00:00:00"/>
    <x v="55"/>
    <x v="0"/>
    <x v="0"/>
    <x v="2"/>
    <s v="California"/>
    <x v="3"/>
    <x v="1"/>
    <x v="7"/>
    <x v="0"/>
  </r>
  <r>
    <x v="1366"/>
    <x v="3"/>
    <x v="12"/>
    <n v="66.5"/>
    <x v="751"/>
    <d v="2025-02-21T00:00:00"/>
    <x v="47"/>
    <x v="2"/>
    <x v="0"/>
    <x v="2"/>
    <s v="California"/>
    <x v="3"/>
    <x v="7"/>
    <x v="7"/>
    <x v="2"/>
  </r>
  <r>
    <x v="1367"/>
    <x v="1"/>
    <x v="1"/>
    <n v="105.3"/>
    <x v="1130"/>
    <d v="2025-02-21T00:00:00"/>
    <x v="51"/>
    <x v="1"/>
    <x v="0"/>
    <x v="1"/>
    <s v="California"/>
    <x v="3"/>
    <x v="5"/>
    <x v="7"/>
    <x v="1"/>
  </r>
  <r>
    <x v="1368"/>
    <x v="10"/>
    <x v="9"/>
    <n v="33.799999999999997"/>
    <x v="900"/>
    <d v="2025-02-21T00:00:00"/>
    <x v="52"/>
    <x v="1"/>
    <x v="0"/>
    <x v="0"/>
    <s v="California"/>
    <x v="3"/>
    <x v="0"/>
    <x v="7"/>
    <x v="1"/>
  </r>
  <r>
    <x v="1369"/>
    <x v="6"/>
    <x v="2"/>
    <n v="63.4"/>
    <x v="1131"/>
    <d v="2025-02-21T00:00:00"/>
    <x v="52"/>
    <x v="1"/>
    <x v="3"/>
    <x v="1"/>
    <s v="California"/>
    <x v="24"/>
    <x v="0"/>
    <x v="7"/>
    <x v="1"/>
  </r>
  <r>
    <x v="1370"/>
    <x v="6"/>
    <x v="2"/>
    <n v="49"/>
    <x v="926"/>
    <d v="2025-02-21T00:00:00"/>
    <x v="51"/>
    <x v="1"/>
    <x v="3"/>
    <x v="0"/>
    <s v="California"/>
    <x v="49"/>
    <x v="5"/>
    <x v="7"/>
    <x v="1"/>
  </r>
  <r>
    <x v="1371"/>
    <x v="1"/>
    <x v="1"/>
    <n v="40"/>
    <x v="479"/>
    <d v="2025-02-21T00:00:00"/>
    <x v="56"/>
    <x v="2"/>
    <x v="4"/>
    <x v="1"/>
    <s v="California"/>
    <x v="23"/>
    <x v="3"/>
    <x v="7"/>
    <x v="2"/>
  </r>
  <r>
    <x v="1372"/>
    <x v="6"/>
    <x v="12"/>
    <n v="86.3"/>
    <x v="1132"/>
    <d v="2025-02-21T00:00:00"/>
    <x v="56"/>
    <x v="3"/>
    <x v="0"/>
    <x v="0"/>
    <s v="California"/>
    <x v="6"/>
    <x v="3"/>
    <x v="7"/>
    <x v="3"/>
  </r>
  <r>
    <x v="1373"/>
    <x v="6"/>
    <x v="0"/>
    <n v="51.6"/>
    <x v="937"/>
    <d v="2025-02-21T00:00:00"/>
    <x v="55"/>
    <x v="2"/>
    <x v="2"/>
    <x v="2"/>
    <s v="California"/>
    <x v="6"/>
    <x v="1"/>
    <x v="7"/>
    <x v="2"/>
  </r>
  <r>
    <x v="1374"/>
    <x v="10"/>
    <x v="2"/>
    <n v="26.7"/>
    <x v="1133"/>
    <d v="2025-02-21T00:00:00"/>
    <x v="52"/>
    <x v="2"/>
    <x v="2"/>
    <x v="1"/>
    <s v="California"/>
    <x v="6"/>
    <x v="0"/>
    <x v="7"/>
    <x v="2"/>
  </r>
  <r>
    <x v="1375"/>
    <x v="18"/>
    <x v="1"/>
    <n v="68.099999999999994"/>
    <x v="1134"/>
    <d v="2025-02-21T00:00:00"/>
    <x v="56"/>
    <x v="1"/>
    <x v="0"/>
    <x v="1"/>
    <s v="California"/>
    <x v="6"/>
    <x v="3"/>
    <x v="7"/>
    <x v="1"/>
  </r>
  <r>
    <x v="1376"/>
    <x v="1"/>
    <x v="0"/>
    <n v="81.7"/>
    <x v="1135"/>
    <d v="2025-02-21T00:00:00"/>
    <x v="56"/>
    <x v="1"/>
    <x v="0"/>
    <x v="0"/>
    <s v="California"/>
    <x v="7"/>
    <x v="3"/>
    <x v="7"/>
    <x v="1"/>
  </r>
  <r>
    <x v="1377"/>
    <x v="18"/>
    <x v="7"/>
    <n v="25.1"/>
    <x v="1136"/>
    <d v="2025-02-21T00:00:00"/>
    <x v="54"/>
    <x v="1"/>
    <x v="3"/>
    <x v="1"/>
    <s v="California"/>
    <x v="8"/>
    <x v="2"/>
    <x v="7"/>
    <x v="1"/>
  </r>
  <r>
    <x v="1378"/>
    <x v="8"/>
    <x v="0"/>
    <n v="20.2"/>
    <x v="1137"/>
    <d v="2025-02-21T00:00:00"/>
    <x v="51"/>
    <x v="2"/>
    <x v="0"/>
    <x v="0"/>
    <s v="California"/>
    <x v="8"/>
    <x v="5"/>
    <x v="7"/>
    <x v="2"/>
  </r>
  <r>
    <x v="1379"/>
    <x v="8"/>
    <x v="2"/>
    <n v="15.4"/>
    <x v="1063"/>
    <d v="2025-02-21T00:00:00"/>
    <x v="56"/>
    <x v="1"/>
    <x v="1"/>
    <x v="2"/>
    <s v="California"/>
    <x v="8"/>
    <x v="3"/>
    <x v="7"/>
    <x v="1"/>
  </r>
  <r>
    <x v="1380"/>
    <x v="10"/>
    <x v="0"/>
    <n v="59.2"/>
    <x v="1100"/>
    <d v="2025-02-21T00:00:00"/>
    <x v="56"/>
    <x v="1"/>
    <x v="2"/>
    <x v="2"/>
    <s v="California"/>
    <x v="17"/>
    <x v="3"/>
    <x v="7"/>
    <x v="1"/>
  </r>
  <r>
    <x v="1381"/>
    <x v="0"/>
    <x v="0"/>
    <n v="46.7"/>
    <x v="594"/>
    <d v="2025-02-21T00:00:00"/>
    <x v="52"/>
    <x v="1"/>
    <x v="0"/>
    <x v="0"/>
    <s v="California"/>
    <x v="17"/>
    <x v="0"/>
    <x v="7"/>
    <x v="1"/>
  </r>
  <r>
    <x v="1382"/>
    <x v="6"/>
    <x v="20"/>
    <n v="41.6"/>
    <x v="1138"/>
    <d v="2025-02-21T00:00:00"/>
    <x v="55"/>
    <x v="1"/>
    <x v="1"/>
    <x v="0"/>
    <s v="California"/>
    <x v="26"/>
    <x v="1"/>
    <x v="7"/>
    <x v="1"/>
  </r>
  <r>
    <x v="1383"/>
    <x v="8"/>
    <x v="1"/>
    <n v="19.2"/>
    <x v="1139"/>
    <d v="2025-02-21T00:00:00"/>
    <x v="54"/>
    <x v="1"/>
    <x v="4"/>
    <x v="2"/>
    <s v="California"/>
    <x v="9"/>
    <x v="2"/>
    <x v="7"/>
    <x v="1"/>
  </r>
  <r>
    <x v="1384"/>
    <x v="17"/>
    <x v="3"/>
    <n v="41.8"/>
    <x v="1140"/>
    <d v="2025-02-21T00:00:00"/>
    <x v="55"/>
    <x v="2"/>
    <x v="2"/>
    <x v="0"/>
    <s v="California"/>
    <x v="11"/>
    <x v="1"/>
    <x v="7"/>
    <x v="2"/>
  </r>
  <r>
    <x v="1385"/>
    <x v="8"/>
    <x v="13"/>
    <n v="37.4"/>
    <x v="1141"/>
    <d v="2025-02-21T00:00:00"/>
    <x v="55"/>
    <x v="1"/>
    <x v="0"/>
    <x v="2"/>
    <s v="California"/>
    <x v="11"/>
    <x v="1"/>
    <x v="7"/>
    <x v="1"/>
  </r>
  <r>
    <x v="1386"/>
    <x v="10"/>
    <x v="2"/>
    <n v="60.2"/>
    <x v="1142"/>
    <d v="2025-02-21T00:00:00"/>
    <x v="54"/>
    <x v="1"/>
    <x v="4"/>
    <x v="1"/>
    <s v="California"/>
    <x v="38"/>
    <x v="2"/>
    <x v="7"/>
    <x v="1"/>
  </r>
  <r>
    <x v="1387"/>
    <x v="9"/>
    <x v="1"/>
    <n v="91.5"/>
    <x v="1143"/>
    <d v="2025-02-22T00:00:00"/>
    <x v="55"/>
    <x v="1"/>
    <x v="0"/>
    <x v="0"/>
    <s v="California"/>
    <x v="13"/>
    <x v="3"/>
    <x v="7"/>
    <x v="1"/>
  </r>
  <r>
    <x v="1388"/>
    <x v="3"/>
    <x v="9"/>
    <n v="55.7"/>
    <x v="1144"/>
    <d v="2025-02-22T00:00:00"/>
    <x v="54"/>
    <x v="0"/>
    <x v="1"/>
    <x v="2"/>
    <s v="California"/>
    <x v="21"/>
    <x v="1"/>
    <x v="7"/>
    <x v="0"/>
  </r>
  <r>
    <x v="1389"/>
    <x v="7"/>
    <x v="1"/>
    <n v="76.7"/>
    <x v="1145"/>
    <d v="2025-02-22T00:00:00"/>
    <x v="54"/>
    <x v="1"/>
    <x v="0"/>
    <x v="1"/>
    <s v="California"/>
    <x v="21"/>
    <x v="1"/>
    <x v="7"/>
    <x v="1"/>
  </r>
  <r>
    <x v="1390"/>
    <x v="8"/>
    <x v="38"/>
    <n v="28.2"/>
    <x v="1146"/>
    <d v="2025-02-22T00:00:00"/>
    <x v="53"/>
    <x v="1"/>
    <x v="2"/>
    <x v="0"/>
    <s v="California"/>
    <x v="1"/>
    <x v="0"/>
    <x v="7"/>
    <x v="1"/>
  </r>
  <r>
    <x v="1391"/>
    <x v="7"/>
    <x v="9"/>
    <n v="93.2"/>
    <x v="1147"/>
    <d v="2025-02-22T00:00:00"/>
    <x v="54"/>
    <x v="2"/>
    <x v="4"/>
    <x v="2"/>
    <s v="California"/>
    <x v="1"/>
    <x v="1"/>
    <x v="7"/>
    <x v="2"/>
  </r>
  <r>
    <x v="1392"/>
    <x v="17"/>
    <x v="0"/>
    <n v="33.299999999999997"/>
    <x v="698"/>
    <d v="2025-02-22T00:00:00"/>
    <x v="55"/>
    <x v="1"/>
    <x v="4"/>
    <x v="0"/>
    <s v="California"/>
    <x v="2"/>
    <x v="3"/>
    <x v="7"/>
    <x v="1"/>
  </r>
  <r>
    <x v="1393"/>
    <x v="10"/>
    <x v="1"/>
    <n v="39.1"/>
    <x v="1148"/>
    <d v="2025-02-22T00:00:00"/>
    <x v="51"/>
    <x v="1"/>
    <x v="0"/>
    <x v="0"/>
    <s v="California"/>
    <x v="44"/>
    <x v="2"/>
    <x v="7"/>
    <x v="1"/>
  </r>
  <r>
    <x v="1394"/>
    <x v="7"/>
    <x v="4"/>
    <n v="45.3"/>
    <x v="1149"/>
    <d v="2025-02-22T00:00:00"/>
    <x v="55"/>
    <x v="1"/>
    <x v="2"/>
    <x v="0"/>
    <s v="California"/>
    <x v="33"/>
    <x v="3"/>
    <x v="7"/>
    <x v="1"/>
  </r>
  <r>
    <x v="1395"/>
    <x v="9"/>
    <x v="3"/>
    <n v="33.9"/>
    <x v="1150"/>
    <d v="2025-02-22T00:00:00"/>
    <x v="55"/>
    <x v="1"/>
    <x v="4"/>
    <x v="0"/>
    <s v="California"/>
    <x v="33"/>
    <x v="3"/>
    <x v="7"/>
    <x v="1"/>
  </r>
  <r>
    <x v="1396"/>
    <x v="8"/>
    <x v="2"/>
    <n v="19"/>
    <x v="933"/>
    <d v="2025-02-22T00:00:00"/>
    <x v="55"/>
    <x v="1"/>
    <x v="0"/>
    <x v="2"/>
    <s v="California"/>
    <x v="15"/>
    <x v="3"/>
    <x v="7"/>
    <x v="1"/>
  </r>
  <r>
    <x v="1397"/>
    <x v="4"/>
    <x v="0"/>
    <n v="41.9"/>
    <x v="1151"/>
    <d v="2025-02-22T00:00:00"/>
    <x v="51"/>
    <x v="2"/>
    <x v="2"/>
    <x v="0"/>
    <s v="California"/>
    <x v="22"/>
    <x v="2"/>
    <x v="7"/>
    <x v="2"/>
  </r>
  <r>
    <x v="1398"/>
    <x v="1"/>
    <x v="12"/>
    <n v="37.5"/>
    <x v="638"/>
    <d v="2025-02-22T00:00:00"/>
    <x v="56"/>
    <x v="2"/>
    <x v="0"/>
    <x v="0"/>
    <s v="California"/>
    <x v="3"/>
    <x v="7"/>
    <x v="7"/>
    <x v="2"/>
  </r>
  <r>
    <x v="1399"/>
    <x v="0"/>
    <x v="1"/>
    <n v="40.799999999999997"/>
    <x v="330"/>
    <d v="2025-02-22T00:00:00"/>
    <x v="51"/>
    <x v="1"/>
    <x v="0"/>
    <x v="0"/>
    <s v="California"/>
    <x v="3"/>
    <x v="2"/>
    <x v="7"/>
    <x v="1"/>
  </r>
  <r>
    <x v="1400"/>
    <x v="0"/>
    <x v="12"/>
    <n v="23.1"/>
    <x v="1152"/>
    <d v="2025-02-22T00:00:00"/>
    <x v="55"/>
    <x v="2"/>
    <x v="4"/>
    <x v="0"/>
    <s v="California"/>
    <x v="3"/>
    <x v="3"/>
    <x v="7"/>
    <x v="2"/>
  </r>
  <r>
    <x v="1401"/>
    <x v="8"/>
    <x v="9"/>
    <n v="39.299999999999997"/>
    <x v="756"/>
    <d v="2025-02-22T00:00:00"/>
    <x v="55"/>
    <x v="2"/>
    <x v="0"/>
    <x v="0"/>
    <s v="California"/>
    <x v="3"/>
    <x v="3"/>
    <x v="7"/>
    <x v="2"/>
  </r>
  <r>
    <x v="1402"/>
    <x v="2"/>
    <x v="12"/>
    <n v="85.2"/>
    <x v="1153"/>
    <d v="2025-02-22T00:00:00"/>
    <x v="53"/>
    <x v="1"/>
    <x v="2"/>
    <x v="0"/>
    <s v="California"/>
    <x v="3"/>
    <x v="0"/>
    <x v="7"/>
    <x v="1"/>
  </r>
  <r>
    <x v="1403"/>
    <x v="8"/>
    <x v="13"/>
    <n v="16"/>
    <x v="854"/>
    <d v="2025-02-22T00:00:00"/>
    <x v="51"/>
    <x v="1"/>
    <x v="1"/>
    <x v="0"/>
    <s v="California"/>
    <x v="3"/>
    <x v="2"/>
    <x v="7"/>
    <x v="1"/>
  </r>
  <r>
    <x v="1404"/>
    <x v="1"/>
    <x v="1"/>
    <n v="33.799999999999997"/>
    <x v="821"/>
    <d v="2025-02-22T00:00:00"/>
    <x v="52"/>
    <x v="2"/>
    <x v="1"/>
    <x v="0"/>
    <s v="California"/>
    <x v="3"/>
    <x v="5"/>
    <x v="7"/>
    <x v="2"/>
  </r>
  <r>
    <x v="1405"/>
    <x v="3"/>
    <x v="0"/>
    <n v="70"/>
    <x v="1154"/>
    <d v="2025-02-22T00:00:00"/>
    <x v="55"/>
    <x v="2"/>
    <x v="0"/>
    <x v="0"/>
    <s v="California"/>
    <x v="3"/>
    <x v="3"/>
    <x v="7"/>
    <x v="2"/>
  </r>
  <r>
    <x v="1406"/>
    <x v="9"/>
    <x v="0"/>
    <n v="88"/>
    <x v="1155"/>
    <d v="2025-02-22T00:00:00"/>
    <x v="53"/>
    <x v="2"/>
    <x v="3"/>
    <x v="0"/>
    <s v="California"/>
    <x v="3"/>
    <x v="0"/>
    <x v="7"/>
    <x v="2"/>
  </r>
  <r>
    <x v="1407"/>
    <x v="2"/>
    <x v="2"/>
    <n v="74.099999999999994"/>
    <x v="1156"/>
    <d v="2025-02-22T00:00:00"/>
    <x v="56"/>
    <x v="1"/>
    <x v="4"/>
    <x v="1"/>
    <s v="California"/>
    <x v="3"/>
    <x v="7"/>
    <x v="7"/>
    <x v="1"/>
  </r>
  <r>
    <x v="1408"/>
    <x v="2"/>
    <x v="0"/>
    <n v="161.9"/>
    <x v="1157"/>
    <d v="2025-02-22T00:00:00"/>
    <x v="54"/>
    <x v="1"/>
    <x v="2"/>
    <x v="0"/>
    <s v="California"/>
    <x v="3"/>
    <x v="1"/>
    <x v="7"/>
    <x v="1"/>
  </r>
  <r>
    <x v="1409"/>
    <x v="4"/>
    <x v="1"/>
    <n v="44"/>
    <x v="1155"/>
    <d v="2025-02-22T00:00:00"/>
    <x v="55"/>
    <x v="3"/>
    <x v="4"/>
    <x v="1"/>
    <s v="California"/>
    <x v="3"/>
    <x v="3"/>
    <x v="7"/>
    <x v="3"/>
  </r>
  <r>
    <x v="1410"/>
    <x v="11"/>
    <x v="0"/>
    <n v="32.1"/>
    <x v="1158"/>
    <d v="2025-02-22T00:00:00"/>
    <x v="56"/>
    <x v="2"/>
    <x v="3"/>
    <x v="3"/>
    <s v="California"/>
    <x v="3"/>
    <x v="7"/>
    <x v="7"/>
    <x v="2"/>
  </r>
  <r>
    <x v="1411"/>
    <x v="2"/>
    <x v="12"/>
    <n v="104.8"/>
    <x v="1159"/>
    <d v="2025-02-23T00:00:00"/>
    <x v="51"/>
    <x v="3"/>
    <x v="0"/>
    <x v="0"/>
    <s v="California"/>
    <x v="3"/>
    <x v="1"/>
    <x v="8"/>
    <x v="3"/>
  </r>
  <r>
    <x v="1412"/>
    <x v="9"/>
    <x v="13"/>
    <n v="67.400000000000006"/>
    <x v="1160"/>
    <d v="2025-02-23T00:00:00"/>
    <x v="54"/>
    <x v="2"/>
    <x v="3"/>
    <x v="0"/>
    <s v="California"/>
    <x v="3"/>
    <x v="3"/>
    <x v="8"/>
    <x v="2"/>
  </r>
  <r>
    <x v="1413"/>
    <x v="6"/>
    <x v="1"/>
    <n v="115.2"/>
    <x v="1161"/>
    <d v="2025-02-23T00:00:00"/>
    <x v="54"/>
    <x v="2"/>
    <x v="1"/>
    <x v="0"/>
    <s v="California"/>
    <x v="4"/>
    <x v="3"/>
    <x v="8"/>
    <x v="2"/>
  </r>
  <r>
    <x v="1414"/>
    <x v="8"/>
    <x v="19"/>
    <n v="15.5"/>
    <x v="148"/>
    <d v="2025-02-23T00:00:00"/>
    <x v="51"/>
    <x v="2"/>
    <x v="0"/>
    <x v="1"/>
    <s v="California"/>
    <x v="23"/>
    <x v="1"/>
    <x v="8"/>
    <x v="2"/>
  </r>
  <r>
    <x v="1415"/>
    <x v="6"/>
    <x v="5"/>
    <n v="66.400000000000006"/>
    <x v="1162"/>
    <d v="2025-02-23T00:00:00"/>
    <x v="51"/>
    <x v="2"/>
    <x v="0"/>
    <x v="0"/>
    <s v="California"/>
    <x v="6"/>
    <x v="1"/>
    <x v="8"/>
    <x v="2"/>
  </r>
  <r>
    <x v="1416"/>
    <x v="9"/>
    <x v="4"/>
    <n v="68.099999999999994"/>
    <x v="1163"/>
    <d v="2025-02-23T00:00:00"/>
    <x v="54"/>
    <x v="2"/>
    <x v="2"/>
    <x v="0"/>
    <s v="California"/>
    <x v="8"/>
    <x v="3"/>
    <x v="8"/>
    <x v="2"/>
  </r>
  <r>
    <x v="1417"/>
    <x v="8"/>
    <x v="9"/>
    <n v="32.5"/>
    <x v="1164"/>
    <d v="2025-02-23T00:00:00"/>
    <x v="53"/>
    <x v="1"/>
    <x v="2"/>
    <x v="1"/>
    <s v="California"/>
    <x v="8"/>
    <x v="5"/>
    <x v="8"/>
    <x v="1"/>
  </r>
  <r>
    <x v="1418"/>
    <x v="15"/>
    <x v="2"/>
    <n v="61.2"/>
    <x v="1165"/>
    <d v="2025-02-23T00:00:00"/>
    <x v="51"/>
    <x v="2"/>
    <x v="1"/>
    <x v="1"/>
    <s v="California"/>
    <x v="8"/>
    <x v="1"/>
    <x v="8"/>
    <x v="2"/>
  </r>
  <r>
    <x v="1419"/>
    <x v="9"/>
    <x v="1"/>
    <n v="54.2"/>
    <x v="1061"/>
    <d v="2025-02-23T00:00:00"/>
    <x v="54"/>
    <x v="2"/>
    <x v="1"/>
    <x v="0"/>
    <s v="California"/>
    <x v="8"/>
    <x v="3"/>
    <x v="8"/>
    <x v="2"/>
  </r>
  <r>
    <x v="1420"/>
    <x v="11"/>
    <x v="8"/>
    <n v="28.7"/>
    <x v="1166"/>
    <d v="2025-02-23T00:00:00"/>
    <x v="51"/>
    <x v="1"/>
    <x v="1"/>
    <x v="0"/>
    <s v="California"/>
    <x v="9"/>
    <x v="1"/>
    <x v="8"/>
    <x v="1"/>
  </r>
  <r>
    <x v="1421"/>
    <x v="12"/>
    <x v="13"/>
    <n v="38.200000000000003"/>
    <x v="1167"/>
    <d v="2025-02-23T00:00:00"/>
    <x v="53"/>
    <x v="2"/>
    <x v="0"/>
    <x v="1"/>
    <s v="California"/>
    <x v="9"/>
    <x v="5"/>
    <x v="8"/>
    <x v="2"/>
  </r>
  <r>
    <x v="1422"/>
    <x v="8"/>
    <x v="4"/>
    <n v="17.600000000000001"/>
    <x v="1168"/>
    <d v="2025-02-23T00:00:00"/>
    <x v="54"/>
    <x v="2"/>
    <x v="2"/>
    <x v="1"/>
    <s v="California"/>
    <x v="9"/>
    <x v="3"/>
    <x v="8"/>
    <x v="2"/>
  </r>
  <r>
    <x v="1423"/>
    <x v="10"/>
    <x v="2"/>
    <n v="74.599999999999994"/>
    <x v="1169"/>
    <d v="2025-02-23T00:00:00"/>
    <x v="55"/>
    <x v="2"/>
    <x v="2"/>
    <x v="0"/>
    <s v="California"/>
    <x v="11"/>
    <x v="7"/>
    <x v="8"/>
    <x v="2"/>
  </r>
  <r>
    <x v="1424"/>
    <x v="16"/>
    <x v="20"/>
    <n v="72.599999999999994"/>
    <x v="1170"/>
    <d v="2025-02-23T00:00:00"/>
    <x v="55"/>
    <x v="0"/>
    <x v="1"/>
    <x v="1"/>
    <s v="California"/>
    <x v="11"/>
    <x v="7"/>
    <x v="8"/>
    <x v="0"/>
  </r>
  <r>
    <x v="1425"/>
    <x v="7"/>
    <x v="0"/>
    <n v="62.3"/>
    <x v="1030"/>
    <d v="2025-02-23T00:00:00"/>
    <x v="54"/>
    <x v="2"/>
    <x v="1"/>
    <x v="0"/>
    <s v="California"/>
    <x v="11"/>
    <x v="3"/>
    <x v="8"/>
    <x v="2"/>
  </r>
  <r>
    <x v="1426"/>
    <x v="3"/>
    <x v="2"/>
    <n v="33.799999999999997"/>
    <x v="1171"/>
    <d v="2025-02-23T00:00:00"/>
    <x v="51"/>
    <x v="1"/>
    <x v="0"/>
    <x v="2"/>
    <s v="California"/>
    <x v="20"/>
    <x v="1"/>
    <x v="8"/>
    <x v="1"/>
  </r>
  <r>
    <x v="1427"/>
    <x v="9"/>
    <x v="0"/>
    <n v="85.7"/>
    <x v="1172"/>
    <d v="2025-02-23T00:00:00"/>
    <x v="52"/>
    <x v="1"/>
    <x v="3"/>
    <x v="1"/>
    <s v="California"/>
    <x v="21"/>
    <x v="2"/>
    <x v="8"/>
    <x v="1"/>
  </r>
  <r>
    <x v="1428"/>
    <x v="6"/>
    <x v="1"/>
    <n v="92.1"/>
    <x v="1173"/>
    <d v="2025-02-23T00:00:00"/>
    <x v="51"/>
    <x v="1"/>
    <x v="1"/>
    <x v="0"/>
    <s v="California"/>
    <x v="21"/>
    <x v="1"/>
    <x v="8"/>
    <x v="1"/>
  </r>
  <r>
    <x v="1429"/>
    <x v="16"/>
    <x v="2"/>
    <n v="65.099999999999994"/>
    <x v="1174"/>
    <d v="2025-02-23T00:00:00"/>
    <x v="52"/>
    <x v="1"/>
    <x v="0"/>
    <x v="0"/>
    <s v="California"/>
    <x v="1"/>
    <x v="2"/>
    <x v="8"/>
    <x v="1"/>
  </r>
  <r>
    <x v="1430"/>
    <x v="9"/>
    <x v="3"/>
    <n v="20.3"/>
    <x v="1175"/>
    <d v="2025-02-23T00:00:00"/>
    <x v="54"/>
    <x v="2"/>
    <x v="2"/>
    <x v="2"/>
    <s v="California"/>
    <x v="2"/>
    <x v="3"/>
    <x v="8"/>
    <x v="2"/>
  </r>
  <r>
    <x v="1431"/>
    <x v="19"/>
    <x v="1"/>
    <n v="29.8"/>
    <x v="1176"/>
    <d v="2025-02-23T00:00:00"/>
    <x v="51"/>
    <x v="2"/>
    <x v="1"/>
    <x v="2"/>
    <s v="California"/>
    <x v="34"/>
    <x v="1"/>
    <x v="8"/>
    <x v="2"/>
  </r>
  <r>
    <x v="1432"/>
    <x v="0"/>
    <x v="1"/>
    <n v="24.2"/>
    <x v="655"/>
    <d v="2025-02-23T00:00:00"/>
    <x v="51"/>
    <x v="2"/>
    <x v="3"/>
    <x v="2"/>
    <s v="California"/>
    <x v="3"/>
    <x v="1"/>
    <x v="8"/>
    <x v="2"/>
  </r>
  <r>
    <x v="1433"/>
    <x v="3"/>
    <x v="0"/>
    <n v="57.3"/>
    <x v="1177"/>
    <d v="2025-02-23T00:00:00"/>
    <x v="51"/>
    <x v="1"/>
    <x v="0"/>
    <x v="0"/>
    <s v="California"/>
    <x v="3"/>
    <x v="1"/>
    <x v="8"/>
    <x v="1"/>
  </r>
  <r>
    <x v="1434"/>
    <x v="2"/>
    <x v="0"/>
    <n v="108.9"/>
    <x v="1178"/>
    <d v="2025-02-23T00:00:00"/>
    <x v="51"/>
    <x v="2"/>
    <x v="1"/>
    <x v="0"/>
    <s v="California"/>
    <x v="3"/>
    <x v="1"/>
    <x v="8"/>
    <x v="2"/>
  </r>
  <r>
    <x v="1435"/>
    <x v="7"/>
    <x v="9"/>
    <n v="50.7"/>
    <x v="103"/>
    <d v="2025-02-23T00:00:00"/>
    <x v="54"/>
    <x v="2"/>
    <x v="0"/>
    <x v="0"/>
    <s v="California"/>
    <x v="3"/>
    <x v="3"/>
    <x v="8"/>
    <x v="2"/>
  </r>
  <r>
    <x v="1436"/>
    <x v="7"/>
    <x v="11"/>
    <n v="66.099999999999994"/>
    <x v="1179"/>
    <d v="2025-02-23T00:00:00"/>
    <x v="60"/>
    <x v="2"/>
    <x v="1"/>
    <x v="0"/>
    <s v="California"/>
    <x v="3"/>
    <x v="12"/>
    <x v="8"/>
    <x v="2"/>
  </r>
  <r>
    <x v="1437"/>
    <x v="12"/>
    <x v="9"/>
    <n v="36.700000000000003"/>
    <x v="1180"/>
    <d v="2025-02-23T00:00:00"/>
    <x v="53"/>
    <x v="2"/>
    <x v="4"/>
    <x v="0"/>
    <s v="California"/>
    <x v="3"/>
    <x v="5"/>
    <x v="8"/>
    <x v="2"/>
  </r>
  <r>
    <x v="1438"/>
    <x v="8"/>
    <x v="14"/>
    <n v="19.3"/>
    <x v="1181"/>
    <d v="2025-02-23T00:00:00"/>
    <x v="51"/>
    <x v="1"/>
    <x v="0"/>
    <x v="0"/>
    <s v="California"/>
    <x v="43"/>
    <x v="1"/>
    <x v="8"/>
    <x v="1"/>
  </r>
  <r>
    <x v="1439"/>
    <x v="8"/>
    <x v="12"/>
    <n v="20.7"/>
    <x v="1182"/>
    <d v="2025-02-23T00:00:00"/>
    <x v="54"/>
    <x v="1"/>
    <x v="1"/>
    <x v="2"/>
    <s v="California"/>
    <x v="6"/>
    <x v="3"/>
    <x v="8"/>
    <x v="1"/>
  </r>
  <r>
    <x v="1440"/>
    <x v="5"/>
    <x v="2"/>
    <n v="54.7"/>
    <x v="1183"/>
    <d v="2025-02-23T00:00:00"/>
    <x v="55"/>
    <x v="3"/>
    <x v="1"/>
    <x v="4"/>
    <s v="California"/>
    <x v="6"/>
    <x v="7"/>
    <x v="8"/>
    <x v="3"/>
  </r>
  <r>
    <x v="1441"/>
    <x v="4"/>
    <x v="1"/>
    <n v="19.8"/>
    <x v="341"/>
    <d v="2025-02-23T00:00:00"/>
    <x v="53"/>
    <x v="2"/>
    <x v="4"/>
    <x v="1"/>
    <s v="California"/>
    <x v="8"/>
    <x v="5"/>
    <x v="8"/>
    <x v="2"/>
  </r>
  <r>
    <x v="1442"/>
    <x v="7"/>
    <x v="0"/>
    <n v="41.1"/>
    <x v="1184"/>
    <d v="2025-02-23T00:00:00"/>
    <x v="51"/>
    <x v="2"/>
    <x v="0"/>
    <x v="2"/>
    <s v="California"/>
    <x v="8"/>
    <x v="1"/>
    <x v="8"/>
    <x v="2"/>
  </r>
  <r>
    <x v="1443"/>
    <x v="11"/>
    <x v="8"/>
    <n v="43.5"/>
    <x v="1185"/>
    <d v="2025-02-23T00:00:00"/>
    <x v="53"/>
    <x v="2"/>
    <x v="3"/>
    <x v="0"/>
    <s v="California"/>
    <x v="8"/>
    <x v="5"/>
    <x v="8"/>
    <x v="2"/>
  </r>
  <r>
    <x v="1444"/>
    <x v="8"/>
    <x v="21"/>
    <n v="19"/>
    <x v="751"/>
    <d v="2025-02-23T00:00:00"/>
    <x v="54"/>
    <x v="1"/>
    <x v="0"/>
    <x v="0"/>
    <s v="California"/>
    <x v="26"/>
    <x v="3"/>
    <x v="8"/>
    <x v="1"/>
  </r>
  <r>
    <x v="1445"/>
    <x v="2"/>
    <x v="12"/>
    <n v="51.4"/>
    <x v="1186"/>
    <d v="2025-02-23T00:00:00"/>
    <x v="55"/>
    <x v="2"/>
    <x v="0"/>
    <x v="0"/>
    <s v="California"/>
    <x v="26"/>
    <x v="7"/>
    <x v="8"/>
    <x v="2"/>
  </r>
  <r>
    <x v="1446"/>
    <x v="10"/>
    <x v="1"/>
    <n v="39.799999999999997"/>
    <x v="1187"/>
    <d v="2025-02-23T00:00:00"/>
    <x v="52"/>
    <x v="1"/>
    <x v="3"/>
    <x v="1"/>
    <s v="California"/>
    <x v="13"/>
    <x v="2"/>
    <x v="8"/>
    <x v="1"/>
  </r>
  <r>
    <x v="1447"/>
    <x v="6"/>
    <x v="9"/>
    <n v="61"/>
    <x v="1188"/>
    <d v="2025-02-23T00:00:00"/>
    <x v="54"/>
    <x v="0"/>
    <x v="0"/>
    <x v="2"/>
    <s v="California"/>
    <x v="21"/>
    <x v="3"/>
    <x v="8"/>
    <x v="0"/>
  </r>
  <r>
    <x v="1448"/>
    <x v="8"/>
    <x v="5"/>
    <n v="15.1"/>
    <x v="1189"/>
    <d v="2025-02-24T00:00:00"/>
    <x v="59"/>
    <x v="1"/>
    <x v="3"/>
    <x v="2"/>
    <s v="California"/>
    <x v="2"/>
    <x v="0"/>
    <x v="8"/>
    <x v="1"/>
  </r>
  <r>
    <x v="1449"/>
    <x v="1"/>
    <x v="3"/>
    <n v="71.3"/>
    <x v="1190"/>
    <d v="2025-02-24T00:00:00"/>
    <x v="51"/>
    <x v="1"/>
    <x v="4"/>
    <x v="0"/>
    <s v="California"/>
    <x v="3"/>
    <x v="3"/>
    <x v="8"/>
    <x v="1"/>
  </r>
  <r>
    <x v="1450"/>
    <x v="10"/>
    <x v="0"/>
    <n v="25.8"/>
    <x v="1191"/>
    <d v="2025-02-24T00:00:00"/>
    <x v="52"/>
    <x v="2"/>
    <x v="0"/>
    <x v="2"/>
    <s v="California"/>
    <x v="3"/>
    <x v="1"/>
    <x v="8"/>
    <x v="2"/>
  </r>
  <r>
    <x v="1451"/>
    <x v="8"/>
    <x v="9"/>
    <n v="39.6"/>
    <x v="1192"/>
    <d v="2025-02-24T00:00:00"/>
    <x v="52"/>
    <x v="1"/>
    <x v="1"/>
    <x v="2"/>
    <s v="California"/>
    <x v="3"/>
    <x v="1"/>
    <x v="8"/>
    <x v="1"/>
  </r>
  <r>
    <x v="1452"/>
    <x v="5"/>
    <x v="1"/>
    <n v="64"/>
    <x v="1193"/>
    <d v="2025-02-24T00:00:00"/>
    <x v="54"/>
    <x v="1"/>
    <x v="1"/>
    <x v="1"/>
    <s v="California"/>
    <x v="3"/>
    <x v="7"/>
    <x v="8"/>
    <x v="1"/>
  </r>
  <r>
    <x v="1453"/>
    <x v="8"/>
    <x v="1"/>
    <n v="30.6"/>
    <x v="1"/>
    <d v="2025-02-24T00:00:00"/>
    <x v="53"/>
    <x v="1"/>
    <x v="0"/>
    <x v="2"/>
    <s v="California"/>
    <x v="3"/>
    <x v="2"/>
    <x v="8"/>
    <x v="1"/>
  </r>
  <r>
    <x v="1454"/>
    <x v="8"/>
    <x v="1"/>
    <n v="21.3"/>
    <x v="440"/>
    <d v="2025-02-24T00:00:00"/>
    <x v="51"/>
    <x v="1"/>
    <x v="0"/>
    <x v="1"/>
    <s v="California"/>
    <x v="3"/>
    <x v="3"/>
    <x v="8"/>
    <x v="1"/>
  </r>
  <r>
    <x v="1455"/>
    <x v="7"/>
    <x v="0"/>
    <n v="40.799999999999997"/>
    <x v="803"/>
    <d v="2025-02-24T00:00:00"/>
    <x v="52"/>
    <x v="2"/>
    <x v="4"/>
    <x v="0"/>
    <s v="California"/>
    <x v="3"/>
    <x v="1"/>
    <x v="8"/>
    <x v="2"/>
  </r>
  <r>
    <x v="1456"/>
    <x v="9"/>
    <x v="12"/>
    <n v="27.7"/>
    <x v="806"/>
    <d v="2025-02-24T00:00:00"/>
    <x v="51"/>
    <x v="2"/>
    <x v="0"/>
    <x v="1"/>
    <s v="California"/>
    <x v="3"/>
    <x v="3"/>
    <x v="8"/>
    <x v="2"/>
  </r>
  <r>
    <x v="1457"/>
    <x v="6"/>
    <x v="1"/>
    <n v="64.599999999999994"/>
    <x v="769"/>
    <d v="2025-02-24T00:00:00"/>
    <x v="51"/>
    <x v="1"/>
    <x v="0"/>
    <x v="1"/>
    <s v="California"/>
    <x v="3"/>
    <x v="3"/>
    <x v="8"/>
    <x v="1"/>
  </r>
  <r>
    <x v="1458"/>
    <x v="6"/>
    <x v="27"/>
    <n v="91.1"/>
    <x v="1194"/>
    <d v="2025-02-24T00:00:00"/>
    <x v="51"/>
    <x v="2"/>
    <x v="1"/>
    <x v="2"/>
    <s v="California"/>
    <x v="3"/>
    <x v="3"/>
    <x v="8"/>
    <x v="2"/>
  </r>
  <r>
    <x v="1459"/>
    <x v="1"/>
    <x v="0"/>
    <n v="39.5"/>
    <x v="736"/>
    <d v="2025-02-24T00:00:00"/>
    <x v="61"/>
    <x v="2"/>
    <x v="0"/>
    <x v="0"/>
    <s v="California"/>
    <x v="3"/>
    <x v="9"/>
    <x v="8"/>
    <x v="2"/>
  </r>
  <r>
    <x v="1460"/>
    <x v="9"/>
    <x v="1"/>
    <n v="21.8"/>
    <x v="1195"/>
    <d v="2025-02-24T00:00:00"/>
    <x v="58"/>
    <x v="1"/>
    <x v="4"/>
    <x v="2"/>
    <s v="California"/>
    <x v="3"/>
    <x v="5"/>
    <x v="8"/>
    <x v="1"/>
  </r>
  <r>
    <x v="1461"/>
    <x v="8"/>
    <x v="1"/>
    <n v="51"/>
    <x v="1062"/>
    <d v="2025-02-24T00:00:00"/>
    <x v="53"/>
    <x v="1"/>
    <x v="3"/>
    <x v="2"/>
    <s v="California"/>
    <x v="3"/>
    <x v="2"/>
    <x v="8"/>
    <x v="1"/>
  </r>
  <r>
    <x v="1462"/>
    <x v="2"/>
    <x v="0"/>
    <n v="92.6"/>
    <x v="1196"/>
    <d v="2025-02-24T00:00:00"/>
    <x v="53"/>
    <x v="2"/>
    <x v="0"/>
    <x v="2"/>
    <s v="California"/>
    <x v="35"/>
    <x v="2"/>
    <x v="8"/>
    <x v="2"/>
  </r>
  <r>
    <x v="1463"/>
    <x v="9"/>
    <x v="1"/>
    <n v="31.1"/>
    <x v="1197"/>
    <d v="2025-02-24T00:00:00"/>
    <x v="59"/>
    <x v="0"/>
    <x v="1"/>
    <x v="3"/>
    <s v="California"/>
    <x v="23"/>
    <x v="0"/>
    <x v="8"/>
    <x v="0"/>
  </r>
  <r>
    <x v="1464"/>
    <x v="5"/>
    <x v="2"/>
    <n v="56.4"/>
    <x v="362"/>
    <d v="2025-02-24T00:00:00"/>
    <x v="51"/>
    <x v="0"/>
    <x v="1"/>
    <x v="0"/>
    <s v="California"/>
    <x v="6"/>
    <x v="3"/>
    <x v="8"/>
    <x v="0"/>
  </r>
  <r>
    <x v="1465"/>
    <x v="9"/>
    <x v="0"/>
    <n v="41.9"/>
    <x v="1151"/>
    <d v="2025-02-24T00:00:00"/>
    <x v="54"/>
    <x v="1"/>
    <x v="1"/>
    <x v="0"/>
    <s v="California"/>
    <x v="6"/>
    <x v="7"/>
    <x v="8"/>
    <x v="1"/>
  </r>
  <r>
    <x v="1466"/>
    <x v="10"/>
    <x v="3"/>
    <n v="45.9"/>
    <x v="1198"/>
    <d v="2025-02-24T00:00:00"/>
    <x v="51"/>
    <x v="1"/>
    <x v="3"/>
    <x v="2"/>
    <s v="California"/>
    <x v="8"/>
    <x v="3"/>
    <x v="8"/>
    <x v="1"/>
  </r>
  <r>
    <x v="1467"/>
    <x v="14"/>
    <x v="11"/>
    <n v="24.4"/>
    <x v="1199"/>
    <d v="2025-02-24T00:00:00"/>
    <x v="58"/>
    <x v="1"/>
    <x v="3"/>
    <x v="2"/>
    <s v="California"/>
    <x v="8"/>
    <x v="5"/>
    <x v="8"/>
    <x v="1"/>
  </r>
  <r>
    <x v="1468"/>
    <x v="8"/>
    <x v="0"/>
    <n v="18.2"/>
    <x v="1200"/>
    <d v="2025-02-24T00:00:00"/>
    <x v="51"/>
    <x v="2"/>
    <x v="2"/>
    <x v="2"/>
    <s v="California"/>
    <x v="8"/>
    <x v="3"/>
    <x v="8"/>
    <x v="2"/>
  </r>
  <r>
    <x v="1469"/>
    <x v="8"/>
    <x v="12"/>
    <n v="51.2"/>
    <x v="403"/>
    <d v="2025-02-24T00:00:00"/>
    <x v="51"/>
    <x v="2"/>
    <x v="0"/>
    <x v="0"/>
    <s v="California"/>
    <x v="8"/>
    <x v="3"/>
    <x v="8"/>
    <x v="2"/>
  </r>
  <r>
    <x v="1470"/>
    <x v="6"/>
    <x v="0"/>
    <n v="59.7"/>
    <x v="1201"/>
    <d v="2025-02-24T00:00:00"/>
    <x v="53"/>
    <x v="1"/>
    <x v="0"/>
    <x v="2"/>
    <s v="California"/>
    <x v="8"/>
    <x v="2"/>
    <x v="8"/>
    <x v="1"/>
  </r>
  <r>
    <x v="1471"/>
    <x v="4"/>
    <x v="1"/>
    <n v="33.6"/>
    <x v="863"/>
    <d v="2025-02-24T00:00:00"/>
    <x v="52"/>
    <x v="2"/>
    <x v="0"/>
    <x v="0"/>
    <s v="California"/>
    <x v="17"/>
    <x v="1"/>
    <x v="8"/>
    <x v="2"/>
  </r>
  <r>
    <x v="1472"/>
    <x v="12"/>
    <x v="0"/>
    <n v="90.4"/>
    <x v="786"/>
    <d v="2025-02-24T00:00:00"/>
    <x v="58"/>
    <x v="1"/>
    <x v="1"/>
    <x v="2"/>
    <s v="California"/>
    <x v="10"/>
    <x v="5"/>
    <x v="8"/>
    <x v="1"/>
  </r>
  <r>
    <x v="1473"/>
    <x v="11"/>
    <x v="2"/>
    <n v="70.3"/>
    <x v="1202"/>
    <d v="2025-02-24T00:00:00"/>
    <x v="54"/>
    <x v="1"/>
    <x v="1"/>
    <x v="2"/>
    <s v="California"/>
    <x v="11"/>
    <x v="7"/>
    <x v="8"/>
    <x v="1"/>
  </r>
  <r>
    <x v="1474"/>
    <x v="4"/>
    <x v="1"/>
    <n v="20.5"/>
    <x v="783"/>
    <d v="2025-02-24T00:00:00"/>
    <x v="53"/>
    <x v="2"/>
    <x v="0"/>
    <x v="1"/>
    <s v="California"/>
    <x v="11"/>
    <x v="2"/>
    <x v="8"/>
    <x v="2"/>
  </r>
  <r>
    <x v="1475"/>
    <x v="5"/>
    <x v="5"/>
    <n v="37.6"/>
    <x v="1203"/>
    <d v="2025-02-24T00:00:00"/>
    <x v="51"/>
    <x v="1"/>
    <x v="0"/>
    <x v="0"/>
    <s v="California"/>
    <x v="38"/>
    <x v="3"/>
    <x v="8"/>
    <x v="1"/>
  </r>
  <r>
    <x v="1476"/>
    <x v="5"/>
    <x v="12"/>
    <n v="61.5"/>
    <x v="1204"/>
    <d v="2025-02-24T00:00:00"/>
    <x v="62"/>
    <x v="2"/>
    <x v="1"/>
    <x v="4"/>
    <s v="California"/>
    <x v="13"/>
    <x v="6"/>
    <x v="8"/>
    <x v="2"/>
  </r>
  <r>
    <x v="1477"/>
    <x v="9"/>
    <x v="0"/>
    <n v="33.5"/>
    <x v="253"/>
    <d v="2025-02-25T00:00:00"/>
    <x v="59"/>
    <x v="1"/>
    <x v="4"/>
    <x v="1"/>
    <s v="California"/>
    <x v="21"/>
    <x v="5"/>
    <x v="8"/>
    <x v="1"/>
  </r>
  <r>
    <x v="1478"/>
    <x v="4"/>
    <x v="2"/>
    <n v="29.3"/>
    <x v="1205"/>
    <d v="2025-02-25T00:00:00"/>
    <x v="53"/>
    <x v="2"/>
    <x v="1"/>
    <x v="2"/>
    <s v="California"/>
    <x v="1"/>
    <x v="1"/>
    <x v="8"/>
    <x v="2"/>
  </r>
  <r>
    <x v="1479"/>
    <x v="2"/>
    <x v="1"/>
    <n v="125.9"/>
    <x v="1206"/>
    <d v="2025-02-25T00:00:00"/>
    <x v="57"/>
    <x v="2"/>
    <x v="4"/>
    <x v="1"/>
    <s v="California"/>
    <x v="1"/>
    <x v="0"/>
    <x v="8"/>
    <x v="2"/>
  </r>
  <r>
    <x v="1480"/>
    <x v="5"/>
    <x v="9"/>
    <n v="29.3"/>
    <x v="1207"/>
    <d v="2025-02-25T00:00:00"/>
    <x v="51"/>
    <x v="1"/>
    <x v="2"/>
    <x v="0"/>
    <s v="California"/>
    <x v="44"/>
    <x v="7"/>
    <x v="8"/>
    <x v="1"/>
  </r>
  <r>
    <x v="1481"/>
    <x v="9"/>
    <x v="0"/>
    <n v="37.799999999999997"/>
    <x v="463"/>
    <d v="2025-02-25T00:00:00"/>
    <x v="58"/>
    <x v="2"/>
    <x v="0"/>
    <x v="2"/>
    <s v="California"/>
    <x v="3"/>
    <x v="2"/>
    <x v="8"/>
    <x v="2"/>
  </r>
  <r>
    <x v="1482"/>
    <x v="0"/>
    <x v="12"/>
    <n v="31.7"/>
    <x v="1208"/>
    <d v="2025-02-25T00:00:00"/>
    <x v="52"/>
    <x v="1"/>
    <x v="2"/>
    <x v="2"/>
    <s v="California"/>
    <x v="3"/>
    <x v="3"/>
    <x v="8"/>
    <x v="1"/>
  </r>
  <r>
    <x v="1483"/>
    <x v="8"/>
    <x v="9"/>
    <n v="26.3"/>
    <x v="1209"/>
    <d v="2025-02-25T00:00:00"/>
    <x v="52"/>
    <x v="2"/>
    <x v="3"/>
    <x v="2"/>
    <s v="California"/>
    <x v="3"/>
    <x v="3"/>
    <x v="8"/>
    <x v="2"/>
  </r>
  <r>
    <x v="1484"/>
    <x v="8"/>
    <x v="2"/>
    <n v="23.1"/>
    <x v="59"/>
    <d v="2025-02-25T00:00:00"/>
    <x v="52"/>
    <x v="3"/>
    <x v="2"/>
    <x v="1"/>
    <s v="California"/>
    <x v="3"/>
    <x v="3"/>
    <x v="8"/>
    <x v="3"/>
  </r>
  <r>
    <x v="1485"/>
    <x v="4"/>
    <x v="0"/>
    <n v="22.3"/>
    <x v="968"/>
    <d v="2025-02-25T00:00:00"/>
    <x v="53"/>
    <x v="2"/>
    <x v="2"/>
    <x v="0"/>
    <s v="California"/>
    <x v="3"/>
    <x v="1"/>
    <x v="8"/>
    <x v="2"/>
  </r>
  <r>
    <x v="1486"/>
    <x v="12"/>
    <x v="1"/>
    <n v="99.5"/>
    <x v="1210"/>
    <d v="2025-02-25T00:00:00"/>
    <x v="53"/>
    <x v="2"/>
    <x v="2"/>
    <x v="0"/>
    <s v="California"/>
    <x v="3"/>
    <x v="1"/>
    <x v="8"/>
    <x v="2"/>
  </r>
  <r>
    <x v="1487"/>
    <x v="12"/>
    <x v="12"/>
    <n v="47.4"/>
    <x v="455"/>
    <d v="2025-02-25T00:00:00"/>
    <x v="58"/>
    <x v="2"/>
    <x v="1"/>
    <x v="0"/>
    <s v="California"/>
    <x v="3"/>
    <x v="2"/>
    <x v="8"/>
    <x v="2"/>
  </r>
  <r>
    <x v="1488"/>
    <x v="0"/>
    <x v="5"/>
    <n v="37.5"/>
    <x v="1211"/>
    <d v="2025-02-25T00:00:00"/>
    <x v="53"/>
    <x v="2"/>
    <x v="0"/>
    <x v="3"/>
    <s v="California"/>
    <x v="3"/>
    <x v="1"/>
    <x v="8"/>
    <x v="2"/>
  </r>
  <r>
    <x v="1489"/>
    <x v="10"/>
    <x v="0"/>
    <n v="45.1"/>
    <x v="1212"/>
    <d v="2025-02-25T00:00:00"/>
    <x v="57"/>
    <x v="1"/>
    <x v="3"/>
    <x v="2"/>
    <s v="California"/>
    <x v="24"/>
    <x v="0"/>
    <x v="8"/>
    <x v="1"/>
  </r>
  <r>
    <x v="1490"/>
    <x v="5"/>
    <x v="7"/>
    <n v="34.4"/>
    <x v="1213"/>
    <d v="2025-02-25T00:00:00"/>
    <x v="58"/>
    <x v="1"/>
    <x v="2"/>
    <x v="0"/>
    <s v="California"/>
    <x v="16"/>
    <x v="2"/>
    <x v="8"/>
    <x v="1"/>
  </r>
  <r>
    <x v="1491"/>
    <x v="4"/>
    <x v="1"/>
    <n v="38"/>
    <x v="998"/>
    <d v="2025-02-25T00:00:00"/>
    <x v="53"/>
    <x v="2"/>
    <x v="1"/>
    <x v="0"/>
    <s v="California"/>
    <x v="5"/>
    <x v="1"/>
    <x v="8"/>
    <x v="2"/>
  </r>
  <r>
    <x v="1492"/>
    <x v="3"/>
    <x v="21"/>
    <n v="32.4"/>
    <x v="1214"/>
    <d v="2025-02-25T00:00:00"/>
    <x v="58"/>
    <x v="1"/>
    <x v="4"/>
    <x v="0"/>
    <s v="California"/>
    <x v="6"/>
    <x v="2"/>
    <x v="8"/>
    <x v="1"/>
  </r>
  <r>
    <x v="1493"/>
    <x v="6"/>
    <x v="2"/>
    <n v="40.9"/>
    <x v="544"/>
    <d v="2025-02-25T00:00:00"/>
    <x v="51"/>
    <x v="0"/>
    <x v="1"/>
    <x v="0"/>
    <s v="California"/>
    <x v="8"/>
    <x v="7"/>
    <x v="8"/>
    <x v="0"/>
  </r>
  <r>
    <x v="1494"/>
    <x v="7"/>
    <x v="3"/>
    <n v="76.2"/>
    <x v="1215"/>
    <d v="2025-02-25T00:00:00"/>
    <x v="53"/>
    <x v="2"/>
    <x v="2"/>
    <x v="1"/>
    <s v="California"/>
    <x v="8"/>
    <x v="1"/>
    <x v="8"/>
    <x v="2"/>
  </r>
  <r>
    <x v="1495"/>
    <x v="2"/>
    <x v="0"/>
    <n v="85.6"/>
    <x v="1216"/>
    <d v="2025-02-25T00:00:00"/>
    <x v="53"/>
    <x v="1"/>
    <x v="2"/>
    <x v="0"/>
    <s v="California"/>
    <x v="8"/>
    <x v="1"/>
    <x v="8"/>
    <x v="1"/>
  </r>
  <r>
    <x v="1496"/>
    <x v="4"/>
    <x v="12"/>
    <n v="25"/>
    <x v="1217"/>
    <d v="2025-02-25T00:00:00"/>
    <x v="53"/>
    <x v="2"/>
    <x v="2"/>
    <x v="2"/>
    <s v="California"/>
    <x v="8"/>
    <x v="1"/>
    <x v="8"/>
    <x v="2"/>
  </r>
  <r>
    <x v="1497"/>
    <x v="2"/>
    <x v="9"/>
    <n v="150.69999999999999"/>
    <x v="1218"/>
    <d v="2025-02-25T00:00:00"/>
    <x v="52"/>
    <x v="0"/>
    <x v="0"/>
    <x v="2"/>
    <s v="California"/>
    <x v="8"/>
    <x v="3"/>
    <x v="8"/>
    <x v="0"/>
  </r>
  <r>
    <x v="1498"/>
    <x v="8"/>
    <x v="0"/>
    <n v="19.600000000000001"/>
    <x v="1219"/>
    <d v="2025-02-25T00:00:00"/>
    <x v="52"/>
    <x v="1"/>
    <x v="1"/>
    <x v="4"/>
    <s v="California"/>
    <x v="8"/>
    <x v="3"/>
    <x v="8"/>
    <x v="1"/>
  </r>
  <r>
    <x v="1499"/>
    <x v="13"/>
    <x v="1"/>
    <n v="37.5"/>
    <x v="611"/>
    <d v="2025-02-25T00:00:00"/>
    <x v="58"/>
    <x v="2"/>
    <x v="1"/>
    <x v="2"/>
    <s v="California"/>
    <x v="17"/>
    <x v="2"/>
    <x v="8"/>
    <x v="2"/>
  </r>
  <r>
    <x v="1500"/>
    <x v="9"/>
    <x v="2"/>
    <n v="51.9"/>
    <x v="515"/>
    <d v="2025-02-25T00:00:00"/>
    <x v="62"/>
    <x v="2"/>
    <x v="0"/>
    <x v="4"/>
    <s v="California"/>
    <x v="11"/>
    <x v="4"/>
    <x v="8"/>
    <x v="2"/>
  </r>
  <r>
    <x v="1501"/>
    <x v="1"/>
    <x v="1"/>
    <n v="30.9"/>
    <x v="546"/>
    <d v="2025-02-25T00:00:00"/>
    <x v="53"/>
    <x v="2"/>
    <x v="1"/>
    <x v="0"/>
    <s v="California"/>
    <x v="18"/>
    <x v="1"/>
    <x v="8"/>
    <x v="2"/>
  </r>
  <r>
    <x v="1502"/>
    <x v="4"/>
    <x v="2"/>
    <n v="21.2"/>
    <x v="1220"/>
    <d v="2025-02-25T00:00:00"/>
    <x v="58"/>
    <x v="2"/>
    <x v="1"/>
    <x v="0"/>
    <s v="California"/>
    <x v="19"/>
    <x v="2"/>
    <x v="8"/>
    <x v="2"/>
  </r>
  <r>
    <x v="1503"/>
    <x v="13"/>
    <x v="14"/>
    <n v="17.5"/>
    <x v="1221"/>
    <d v="2025-02-25T00:00:00"/>
    <x v="52"/>
    <x v="1"/>
    <x v="1"/>
    <x v="1"/>
    <s v="California"/>
    <x v="13"/>
    <x v="3"/>
    <x v="8"/>
    <x v="1"/>
  </r>
  <r>
    <x v="1504"/>
    <x v="12"/>
    <x v="1"/>
    <n v="53.8"/>
    <x v="799"/>
    <d v="2025-02-25T00:00:00"/>
    <x v="57"/>
    <x v="2"/>
    <x v="0"/>
    <x v="2"/>
    <s v="California"/>
    <x v="21"/>
    <x v="0"/>
    <x v="8"/>
    <x v="2"/>
  </r>
  <r>
    <x v="1505"/>
    <x v="19"/>
    <x v="1"/>
    <n v="17"/>
    <x v="1222"/>
    <d v="2025-02-25T00:00:00"/>
    <x v="52"/>
    <x v="1"/>
    <x v="3"/>
    <x v="0"/>
    <s v="California"/>
    <x v="21"/>
    <x v="3"/>
    <x v="8"/>
    <x v="1"/>
  </r>
  <r>
    <x v="1506"/>
    <x v="6"/>
    <x v="0"/>
    <n v="103.2"/>
    <x v="1223"/>
    <d v="2025-02-25T00:00:00"/>
    <x v="63"/>
    <x v="1"/>
    <x v="2"/>
    <x v="1"/>
    <s v="California"/>
    <x v="1"/>
    <x v="9"/>
    <x v="8"/>
    <x v="1"/>
  </r>
  <r>
    <x v="1507"/>
    <x v="6"/>
    <x v="12"/>
    <n v="70.3"/>
    <x v="552"/>
    <d v="2025-02-25T00:00:00"/>
    <x v="52"/>
    <x v="1"/>
    <x v="0"/>
    <x v="0"/>
    <s v="California"/>
    <x v="3"/>
    <x v="3"/>
    <x v="8"/>
    <x v="1"/>
  </r>
  <r>
    <x v="1508"/>
    <x v="2"/>
    <x v="1"/>
    <n v="73.8"/>
    <x v="1224"/>
    <d v="2025-02-25T00:00:00"/>
    <x v="51"/>
    <x v="1"/>
    <x v="3"/>
    <x v="2"/>
    <s v="California"/>
    <x v="3"/>
    <x v="7"/>
    <x v="8"/>
    <x v="1"/>
  </r>
  <r>
    <x v="1509"/>
    <x v="1"/>
    <x v="4"/>
    <n v="67.7"/>
    <x v="1225"/>
    <d v="2025-02-25T00:00:00"/>
    <x v="59"/>
    <x v="1"/>
    <x v="1"/>
    <x v="1"/>
    <s v="California"/>
    <x v="3"/>
    <x v="5"/>
    <x v="8"/>
    <x v="1"/>
  </r>
  <r>
    <x v="1510"/>
    <x v="13"/>
    <x v="3"/>
    <n v="43.8"/>
    <x v="1226"/>
    <d v="2025-02-25T00:00:00"/>
    <x v="53"/>
    <x v="1"/>
    <x v="1"/>
    <x v="0"/>
    <s v="California"/>
    <x v="3"/>
    <x v="1"/>
    <x v="8"/>
    <x v="1"/>
  </r>
  <r>
    <x v="1511"/>
    <x v="17"/>
    <x v="13"/>
    <n v="71.900000000000006"/>
    <x v="1227"/>
    <d v="2025-02-25T00:00:00"/>
    <x v="52"/>
    <x v="2"/>
    <x v="2"/>
    <x v="0"/>
    <s v="California"/>
    <x v="3"/>
    <x v="3"/>
    <x v="8"/>
    <x v="2"/>
  </r>
  <r>
    <x v="1512"/>
    <x v="8"/>
    <x v="1"/>
    <n v="26.3"/>
    <x v="1228"/>
    <d v="2025-02-26T00:00:00"/>
    <x v="58"/>
    <x v="2"/>
    <x v="0"/>
    <x v="1"/>
    <s v="California"/>
    <x v="3"/>
    <x v="1"/>
    <x v="8"/>
    <x v="2"/>
  </r>
  <r>
    <x v="1513"/>
    <x v="6"/>
    <x v="12"/>
    <n v="52.6"/>
    <x v="138"/>
    <d v="2025-02-26T00:00:00"/>
    <x v="58"/>
    <x v="2"/>
    <x v="2"/>
    <x v="1"/>
    <s v="California"/>
    <x v="3"/>
    <x v="1"/>
    <x v="8"/>
    <x v="2"/>
  </r>
  <r>
    <x v="1514"/>
    <x v="10"/>
    <x v="0"/>
    <n v="32.700000000000003"/>
    <x v="1229"/>
    <d v="2025-02-26T00:00:00"/>
    <x v="63"/>
    <x v="2"/>
    <x v="0"/>
    <x v="2"/>
    <s v="California"/>
    <x v="3"/>
    <x v="6"/>
    <x v="8"/>
    <x v="2"/>
  </r>
  <r>
    <x v="1515"/>
    <x v="5"/>
    <x v="12"/>
    <n v="38.9"/>
    <x v="1230"/>
    <d v="2025-02-26T00:00:00"/>
    <x v="53"/>
    <x v="2"/>
    <x v="0"/>
    <x v="0"/>
    <s v="California"/>
    <x v="3"/>
    <x v="3"/>
    <x v="8"/>
    <x v="2"/>
  </r>
  <r>
    <x v="1516"/>
    <x v="9"/>
    <x v="9"/>
    <n v="35"/>
    <x v="25"/>
    <d v="2025-02-26T00:00:00"/>
    <x v="58"/>
    <x v="1"/>
    <x v="0"/>
    <x v="0"/>
    <s v="California"/>
    <x v="3"/>
    <x v="1"/>
    <x v="8"/>
    <x v="1"/>
  </r>
  <r>
    <x v="1517"/>
    <x v="2"/>
    <x v="1"/>
    <n v="121"/>
    <x v="1231"/>
    <d v="2025-02-26T00:00:00"/>
    <x v="53"/>
    <x v="2"/>
    <x v="1"/>
    <x v="1"/>
    <s v="California"/>
    <x v="3"/>
    <x v="3"/>
    <x v="8"/>
    <x v="2"/>
  </r>
  <r>
    <x v="1518"/>
    <x v="6"/>
    <x v="2"/>
    <n v="65.099999999999994"/>
    <x v="1174"/>
    <d v="2025-02-26T00:00:00"/>
    <x v="57"/>
    <x v="1"/>
    <x v="2"/>
    <x v="0"/>
    <s v="California"/>
    <x v="36"/>
    <x v="5"/>
    <x v="8"/>
    <x v="1"/>
  </r>
  <r>
    <x v="1519"/>
    <x v="1"/>
    <x v="38"/>
    <n v="63.8"/>
    <x v="1232"/>
    <d v="2025-02-26T00:00:00"/>
    <x v="58"/>
    <x v="2"/>
    <x v="0"/>
    <x v="0"/>
    <s v="California"/>
    <x v="8"/>
    <x v="1"/>
    <x v="8"/>
    <x v="2"/>
  </r>
  <r>
    <x v="1520"/>
    <x v="7"/>
    <x v="0"/>
    <n v="77.7"/>
    <x v="1233"/>
    <d v="2025-02-26T00:00:00"/>
    <x v="58"/>
    <x v="1"/>
    <x v="0"/>
    <x v="0"/>
    <s v="California"/>
    <x v="8"/>
    <x v="1"/>
    <x v="8"/>
    <x v="1"/>
  </r>
  <r>
    <x v="1521"/>
    <x v="5"/>
    <x v="12"/>
    <n v="60.3"/>
    <x v="1234"/>
    <d v="2025-02-26T00:00:00"/>
    <x v="52"/>
    <x v="1"/>
    <x v="0"/>
    <x v="2"/>
    <s v="California"/>
    <x v="8"/>
    <x v="7"/>
    <x v="8"/>
    <x v="1"/>
  </r>
  <r>
    <x v="1522"/>
    <x v="5"/>
    <x v="1"/>
    <n v="124.1"/>
    <x v="1235"/>
    <d v="2025-02-26T00:00:00"/>
    <x v="59"/>
    <x v="2"/>
    <x v="0"/>
    <x v="2"/>
    <s v="California"/>
    <x v="8"/>
    <x v="2"/>
    <x v="8"/>
    <x v="2"/>
  </r>
  <r>
    <x v="1523"/>
    <x v="16"/>
    <x v="3"/>
    <n v="66"/>
    <x v="1236"/>
    <d v="2025-02-26T00:00:00"/>
    <x v="52"/>
    <x v="0"/>
    <x v="3"/>
    <x v="0"/>
    <s v="California"/>
    <x v="17"/>
    <x v="7"/>
    <x v="8"/>
    <x v="0"/>
  </r>
  <r>
    <x v="1524"/>
    <x v="2"/>
    <x v="42"/>
    <n v="118.2"/>
    <x v="1237"/>
    <d v="2025-02-26T00:00:00"/>
    <x v="62"/>
    <x v="0"/>
    <x v="0"/>
    <x v="0"/>
    <s v="California"/>
    <x v="17"/>
    <x v="0"/>
    <x v="8"/>
    <x v="0"/>
  </r>
  <r>
    <x v="1525"/>
    <x v="5"/>
    <x v="9"/>
    <n v="64.3"/>
    <x v="1238"/>
    <d v="2025-02-26T00:00:00"/>
    <x v="53"/>
    <x v="1"/>
    <x v="4"/>
    <x v="4"/>
    <s v="California"/>
    <x v="26"/>
    <x v="3"/>
    <x v="8"/>
    <x v="1"/>
  </r>
  <r>
    <x v="1526"/>
    <x v="1"/>
    <x v="1"/>
    <n v="54.8"/>
    <x v="1239"/>
    <d v="2025-02-26T00:00:00"/>
    <x v="52"/>
    <x v="1"/>
    <x v="0"/>
    <x v="1"/>
    <s v="California"/>
    <x v="26"/>
    <x v="7"/>
    <x v="8"/>
    <x v="1"/>
  </r>
  <r>
    <x v="1527"/>
    <x v="7"/>
    <x v="1"/>
    <n v="78.599999999999994"/>
    <x v="507"/>
    <d v="2025-02-26T00:00:00"/>
    <x v="53"/>
    <x v="1"/>
    <x v="0"/>
    <x v="2"/>
    <s v="California"/>
    <x v="9"/>
    <x v="3"/>
    <x v="8"/>
    <x v="1"/>
  </r>
  <r>
    <x v="1528"/>
    <x v="2"/>
    <x v="9"/>
    <n v="158.5"/>
    <x v="1240"/>
    <d v="2025-02-26T00:00:00"/>
    <x v="58"/>
    <x v="0"/>
    <x v="2"/>
    <x v="2"/>
    <s v="California"/>
    <x v="9"/>
    <x v="1"/>
    <x v="8"/>
    <x v="0"/>
  </r>
  <r>
    <x v="1529"/>
    <x v="4"/>
    <x v="7"/>
    <n v="23.5"/>
    <x v="666"/>
    <d v="2025-02-26T00:00:00"/>
    <x v="59"/>
    <x v="1"/>
    <x v="0"/>
    <x v="4"/>
    <s v="California"/>
    <x v="10"/>
    <x v="2"/>
    <x v="8"/>
    <x v="1"/>
  </r>
  <r>
    <x v="1530"/>
    <x v="5"/>
    <x v="1"/>
    <n v="32.1"/>
    <x v="1005"/>
    <d v="2025-02-26T00:00:00"/>
    <x v="58"/>
    <x v="0"/>
    <x v="3"/>
    <x v="0"/>
    <s v="California"/>
    <x v="10"/>
    <x v="1"/>
    <x v="8"/>
    <x v="0"/>
  </r>
  <r>
    <x v="1531"/>
    <x v="17"/>
    <x v="12"/>
    <n v="71.900000000000006"/>
    <x v="1241"/>
    <d v="2025-02-26T00:00:00"/>
    <x v="52"/>
    <x v="1"/>
    <x v="2"/>
    <x v="0"/>
    <s v="California"/>
    <x v="19"/>
    <x v="7"/>
    <x v="8"/>
    <x v="1"/>
  </r>
  <r>
    <x v="1532"/>
    <x v="4"/>
    <x v="13"/>
    <n v="22.3"/>
    <x v="981"/>
    <d v="2025-02-26T00:00:00"/>
    <x v="53"/>
    <x v="0"/>
    <x v="3"/>
    <x v="2"/>
    <s v="California"/>
    <x v="13"/>
    <x v="3"/>
    <x v="8"/>
    <x v="0"/>
  </r>
  <r>
    <x v="1533"/>
    <x v="11"/>
    <x v="1"/>
    <n v="29.5"/>
    <x v="1242"/>
    <d v="2025-02-26T00:00:00"/>
    <x v="53"/>
    <x v="2"/>
    <x v="0"/>
    <x v="2"/>
    <s v="California"/>
    <x v="13"/>
    <x v="3"/>
    <x v="8"/>
    <x v="2"/>
  </r>
  <r>
    <x v="1534"/>
    <x v="6"/>
    <x v="12"/>
    <n v="41.9"/>
    <x v="1243"/>
    <d v="2025-02-26T00:00:00"/>
    <x v="57"/>
    <x v="2"/>
    <x v="0"/>
    <x v="1"/>
    <s v="California"/>
    <x v="21"/>
    <x v="5"/>
    <x v="8"/>
    <x v="2"/>
  </r>
  <r>
    <x v="1535"/>
    <x v="6"/>
    <x v="2"/>
    <n v="107.8"/>
    <x v="1244"/>
    <d v="2025-02-26T00:00:00"/>
    <x v="53"/>
    <x v="1"/>
    <x v="1"/>
    <x v="2"/>
    <s v="California"/>
    <x v="46"/>
    <x v="3"/>
    <x v="8"/>
    <x v="1"/>
  </r>
  <r>
    <x v="1536"/>
    <x v="4"/>
    <x v="9"/>
    <n v="18.100000000000001"/>
    <x v="497"/>
    <d v="2025-02-26T00:00:00"/>
    <x v="59"/>
    <x v="1"/>
    <x v="0"/>
    <x v="2"/>
    <s v="California"/>
    <x v="2"/>
    <x v="2"/>
    <x v="8"/>
    <x v="1"/>
  </r>
  <r>
    <x v="1537"/>
    <x v="12"/>
    <x v="11"/>
    <n v="79.8"/>
    <x v="1245"/>
    <d v="2025-02-26T00:00:00"/>
    <x v="53"/>
    <x v="2"/>
    <x v="1"/>
    <x v="1"/>
    <s v="California"/>
    <x v="22"/>
    <x v="3"/>
    <x v="8"/>
    <x v="2"/>
  </r>
  <r>
    <x v="1538"/>
    <x v="0"/>
    <x v="2"/>
    <n v="22.3"/>
    <x v="884"/>
    <d v="2025-02-26T00:00:00"/>
    <x v="59"/>
    <x v="2"/>
    <x v="0"/>
    <x v="2"/>
    <s v="California"/>
    <x v="22"/>
    <x v="2"/>
    <x v="8"/>
    <x v="2"/>
  </r>
  <r>
    <x v="1539"/>
    <x v="8"/>
    <x v="0"/>
    <n v="22.9"/>
    <x v="1246"/>
    <d v="2025-02-26T00:00:00"/>
    <x v="52"/>
    <x v="2"/>
    <x v="1"/>
    <x v="0"/>
    <s v="California"/>
    <x v="22"/>
    <x v="7"/>
    <x v="8"/>
    <x v="2"/>
  </r>
  <r>
    <x v="1540"/>
    <x v="0"/>
    <x v="2"/>
    <n v="16.2"/>
    <x v="1247"/>
    <d v="2025-02-27T00:00:00"/>
    <x v="53"/>
    <x v="1"/>
    <x v="4"/>
    <x v="2"/>
    <s v="California"/>
    <x v="3"/>
    <x v="7"/>
    <x v="8"/>
    <x v="1"/>
  </r>
  <r>
    <x v="1541"/>
    <x v="10"/>
    <x v="12"/>
    <n v="59.5"/>
    <x v="1248"/>
    <d v="2025-02-27T00:00:00"/>
    <x v="58"/>
    <x v="1"/>
    <x v="1"/>
    <x v="2"/>
    <s v="California"/>
    <x v="3"/>
    <x v="3"/>
    <x v="8"/>
    <x v="1"/>
  </r>
  <r>
    <x v="1542"/>
    <x v="18"/>
    <x v="9"/>
    <n v="26.2"/>
    <x v="1249"/>
    <d v="2025-02-27T00:00:00"/>
    <x v="57"/>
    <x v="1"/>
    <x v="3"/>
    <x v="4"/>
    <s v="California"/>
    <x v="3"/>
    <x v="2"/>
    <x v="8"/>
    <x v="1"/>
  </r>
  <r>
    <x v="1543"/>
    <x v="3"/>
    <x v="0"/>
    <n v="44.2"/>
    <x v="573"/>
    <d v="2025-02-27T00:00:00"/>
    <x v="57"/>
    <x v="2"/>
    <x v="1"/>
    <x v="0"/>
    <s v="California"/>
    <x v="3"/>
    <x v="2"/>
    <x v="8"/>
    <x v="2"/>
  </r>
  <r>
    <x v="1544"/>
    <x v="9"/>
    <x v="1"/>
    <n v="59.2"/>
    <x v="1250"/>
    <d v="2025-02-27T00:00:00"/>
    <x v="53"/>
    <x v="2"/>
    <x v="1"/>
    <x v="4"/>
    <s v="California"/>
    <x v="3"/>
    <x v="7"/>
    <x v="8"/>
    <x v="2"/>
  </r>
  <r>
    <x v="1545"/>
    <x v="15"/>
    <x v="12"/>
    <n v="41.5"/>
    <x v="1251"/>
    <d v="2025-02-27T00:00:00"/>
    <x v="59"/>
    <x v="2"/>
    <x v="0"/>
    <x v="0"/>
    <s v="California"/>
    <x v="16"/>
    <x v="1"/>
    <x v="8"/>
    <x v="2"/>
  </r>
  <r>
    <x v="1546"/>
    <x v="6"/>
    <x v="4"/>
    <n v="67.099999999999994"/>
    <x v="1252"/>
    <d v="2025-02-27T00:00:00"/>
    <x v="64"/>
    <x v="2"/>
    <x v="0"/>
    <x v="2"/>
    <s v="California"/>
    <x v="23"/>
    <x v="12"/>
    <x v="8"/>
    <x v="2"/>
  </r>
  <r>
    <x v="1547"/>
    <x v="8"/>
    <x v="1"/>
    <n v="28.7"/>
    <x v="1253"/>
    <d v="2025-02-27T00:00:00"/>
    <x v="62"/>
    <x v="2"/>
    <x v="1"/>
    <x v="0"/>
    <s v="California"/>
    <x v="6"/>
    <x v="5"/>
    <x v="8"/>
    <x v="2"/>
  </r>
  <r>
    <x v="1548"/>
    <x v="2"/>
    <x v="12"/>
    <n v="132.1"/>
    <x v="1254"/>
    <d v="2025-02-27T00:00:00"/>
    <x v="58"/>
    <x v="2"/>
    <x v="0"/>
    <x v="1"/>
    <s v="California"/>
    <x v="6"/>
    <x v="3"/>
    <x v="8"/>
    <x v="2"/>
  </r>
  <r>
    <x v="1549"/>
    <x v="18"/>
    <x v="1"/>
    <n v="47"/>
    <x v="255"/>
    <d v="2025-02-27T00:00:00"/>
    <x v="59"/>
    <x v="1"/>
    <x v="4"/>
    <x v="0"/>
    <s v="California"/>
    <x v="8"/>
    <x v="1"/>
    <x v="8"/>
    <x v="1"/>
  </r>
  <r>
    <x v="1550"/>
    <x v="8"/>
    <x v="1"/>
    <n v="41.6"/>
    <x v="707"/>
    <d v="2025-02-27T00:00:00"/>
    <x v="62"/>
    <x v="1"/>
    <x v="1"/>
    <x v="2"/>
    <s v="California"/>
    <x v="8"/>
    <x v="5"/>
    <x v="8"/>
    <x v="1"/>
  </r>
  <r>
    <x v="1551"/>
    <x v="8"/>
    <x v="43"/>
    <n v="17.3"/>
    <x v="1255"/>
    <d v="2025-02-27T00:00:00"/>
    <x v="59"/>
    <x v="1"/>
    <x v="2"/>
    <x v="2"/>
    <s v="California"/>
    <x v="8"/>
    <x v="1"/>
    <x v="8"/>
    <x v="1"/>
  </r>
  <r>
    <x v="1552"/>
    <x v="13"/>
    <x v="2"/>
    <n v="41.8"/>
    <x v="352"/>
    <d v="2025-02-27T00:00:00"/>
    <x v="57"/>
    <x v="1"/>
    <x v="0"/>
    <x v="2"/>
    <s v="California"/>
    <x v="8"/>
    <x v="2"/>
    <x v="8"/>
    <x v="1"/>
  </r>
  <r>
    <x v="1553"/>
    <x v="10"/>
    <x v="0"/>
    <n v="24"/>
    <x v="835"/>
    <d v="2025-02-27T00:00:00"/>
    <x v="58"/>
    <x v="2"/>
    <x v="0"/>
    <x v="0"/>
    <s v="California"/>
    <x v="17"/>
    <x v="3"/>
    <x v="8"/>
    <x v="2"/>
  </r>
  <r>
    <x v="1554"/>
    <x v="14"/>
    <x v="11"/>
    <n v="18.5"/>
    <x v="1256"/>
    <d v="2025-02-27T00:00:00"/>
    <x v="59"/>
    <x v="2"/>
    <x v="0"/>
    <x v="0"/>
    <s v="California"/>
    <x v="9"/>
    <x v="1"/>
    <x v="8"/>
    <x v="2"/>
  </r>
  <r>
    <x v="1555"/>
    <x v="3"/>
    <x v="4"/>
    <n v="66.7"/>
    <x v="1257"/>
    <d v="2025-02-27T00:00:00"/>
    <x v="57"/>
    <x v="0"/>
    <x v="0"/>
    <x v="2"/>
    <s v="California"/>
    <x v="11"/>
    <x v="2"/>
    <x v="8"/>
    <x v="0"/>
  </r>
  <r>
    <x v="1556"/>
    <x v="1"/>
    <x v="12"/>
    <n v="33.1"/>
    <x v="979"/>
    <d v="2025-02-27T00:00:00"/>
    <x v="61"/>
    <x v="1"/>
    <x v="3"/>
    <x v="0"/>
    <s v="California"/>
    <x v="11"/>
    <x v="0"/>
    <x v="8"/>
    <x v="1"/>
  </r>
  <r>
    <x v="1557"/>
    <x v="19"/>
    <x v="11"/>
    <n v="42.1"/>
    <x v="1258"/>
    <d v="2025-02-27T00:00:00"/>
    <x v="65"/>
    <x v="1"/>
    <x v="1"/>
    <x v="0"/>
    <s v="California"/>
    <x v="18"/>
    <x v="11"/>
    <x v="8"/>
    <x v="1"/>
  </r>
  <r>
    <x v="1558"/>
    <x v="18"/>
    <x v="3"/>
    <n v="58.7"/>
    <x v="1259"/>
    <d v="2025-02-27T00:00:00"/>
    <x v="53"/>
    <x v="3"/>
    <x v="3"/>
    <x v="0"/>
    <s v="California"/>
    <x v="31"/>
    <x v="7"/>
    <x v="8"/>
    <x v="3"/>
  </r>
  <r>
    <x v="1559"/>
    <x v="6"/>
    <x v="12"/>
    <n v="54"/>
    <x v="760"/>
    <d v="2025-02-27T00:00:00"/>
    <x v="59"/>
    <x v="2"/>
    <x v="1"/>
    <x v="0"/>
    <s v="California"/>
    <x v="1"/>
    <x v="1"/>
    <x v="8"/>
    <x v="2"/>
  </r>
  <r>
    <x v="1560"/>
    <x v="8"/>
    <x v="0"/>
    <n v="52.1"/>
    <x v="475"/>
    <d v="2025-02-27T00:00:00"/>
    <x v="58"/>
    <x v="2"/>
    <x v="2"/>
    <x v="2"/>
    <s v="California"/>
    <x v="2"/>
    <x v="3"/>
    <x v="8"/>
    <x v="2"/>
  </r>
  <r>
    <x v="1561"/>
    <x v="19"/>
    <x v="1"/>
    <n v="27"/>
    <x v="1260"/>
    <d v="2025-02-27T00:00:00"/>
    <x v="57"/>
    <x v="3"/>
    <x v="2"/>
    <x v="0"/>
    <s v="California"/>
    <x v="22"/>
    <x v="2"/>
    <x v="8"/>
    <x v="3"/>
  </r>
  <r>
    <x v="1562"/>
    <x v="12"/>
    <x v="7"/>
    <n v="31"/>
    <x v="892"/>
    <d v="2025-02-28T00:00:00"/>
    <x v="59"/>
    <x v="2"/>
    <x v="3"/>
    <x v="2"/>
    <s v="California"/>
    <x v="22"/>
    <x v="3"/>
    <x v="8"/>
    <x v="2"/>
  </r>
  <r>
    <x v="1563"/>
    <x v="10"/>
    <x v="1"/>
    <n v="46.7"/>
    <x v="1261"/>
    <d v="2025-02-28T00:00:00"/>
    <x v="58"/>
    <x v="2"/>
    <x v="0"/>
    <x v="0"/>
    <s v="California"/>
    <x v="34"/>
    <x v="7"/>
    <x v="8"/>
    <x v="2"/>
  </r>
  <r>
    <x v="1564"/>
    <x v="6"/>
    <x v="0"/>
    <n v="144.69999999999999"/>
    <x v="1262"/>
    <d v="2025-02-28T00:00:00"/>
    <x v="62"/>
    <x v="1"/>
    <x v="0"/>
    <x v="2"/>
    <s v="California"/>
    <x v="3"/>
    <x v="2"/>
    <x v="8"/>
    <x v="1"/>
  </r>
  <r>
    <x v="1565"/>
    <x v="2"/>
    <x v="11"/>
    <n v="90.9"/>
    <x v="1263"/>
    <d v="2025-02-28T00:00:00"/>
    <x v="59"/>
    <x v="1"/>
    <x v="0"/>
    <x v="2"/>
    <s v="California"/>
    <x v="3"/>
    <x v="3"/>
    <x v="8"/>
    <x v="1"/>
  </r>
  <r>
    <x v="1566"/>
    <x v="1"/>
    <x v="1"/>
    <n v="75.8"/>
    <x v="318"/>
    <d v="2025-02-28T00:00:00"/>
    <x v="59"/>
    <x v="2"/>
    <x v="2"/>
    <x v="1"/>
    <s v="California"/>
    <x v="3"/>
    <x v="3"/>
    <x v="8"/>
    <x v="2"/>
  </r>
  <r>
    <x v="1567"/>
    <x v="7"/>
    <x v="9"/>
    <n v="57.9"/>
    <x v="1264"/>
    <d v="2025-02-28T00:00:00"/>
    <x v="57"/>
    <x v="1"/>
    <x v="2"/>
    <x v="2"/>
    <s v="California"/>
    <x v="3"/>
    <x v="1"/>
    <x v="8"/>
    <x v="1"/>
  </r>
  <r>
    <x v="1568"/>
    <x v="8"/>
    <x v="9"/>
    <n v="44.8"/>
    <x v="692"/>
    <d v="2025-02-28T00:00:00"/>
    <x v="59"/>
    <x v="2"/>
    <x v="3"/>
    <x v="2"/>
    <s v="California"/>
    <x v="3"/>
    <x v="3"/>
    <x v="8"/>
    <x v="2"/>
  </r>
  <r>
    <x v="1569"/>
    <x v="9"/>
    <x v="2"/>
    <n v="44.2"/>
    <x v="1265"/>
    <d v="2025-02-28T00:00:00"/>
    <x v="61"/>
    <x v="1"/>
    <x v="2"/>
    <x v="2"/>
    <s v="California"/>
    <x v="3"/>
    <x v="5"/>
    <x v="8"/>
    <x v="1"/>
  </r>
  <r>
    <x v="1570"/>
    <x v="5"/>
    <x v="9"/>
    <n v="53.5"/>
    <x v="1266"/>
    <d v="2025-02-28T00:00:00"/>
    <x v="57"/>
    <x v="1"/>
    <x v="0"/>
    <x v="0"/>
    <s v="California"/>
    <x v="37"/>
    <x v="1"/>
    <x v="8"/>
    <x v="1"/>
  </r>
  <r>
    <x v="1571"/>
    <x v="6"/>
    <x v="1"/>
    <n v="72.2"/>
    <x v="613"/>
    <d v="2025-02-28T00:00:00"/>
    <x v="59"/>
    <x v="1"/>
    <x v="0"/>
    <x v="2"/>
    <s v="California"/>
    <x v="25"/>
    <x v="3"/>
    <x v="8"/>
    <x v="1"/>
  </r>
  <r>
    <x v="1572"/>
    <x v="6"/>
    <x v="12"/>
    <n v="62.4"/>
    <x v="1267"/>
    <d v="2025-02-28T00:00:00"/>
    <x v="62"/>
    <x v="2"/>
    <x v="0"/>
    <x v="1"/>
    <s v="California"/>
    <x v="23"/>
    <x v="2"/>
    <x v="8"/>
    <x v="2"/>
  </r>
  <r>
    <x v="1573"/>
    <x v="10"/>
    <x v="9"/>
    <n v="24.7"/>
    <x v="1268"/>
    <d v="2025-02-28T00:00:00"/>
    <x v="59"/>
    <x v="2"/>
    <x v="0"/>
    <x v="0"/>
    <s v="California"/>
    <x v="6"/>
    <x v="3"/>
    <x v="8"/>
    <x v="2"/>
  </r>
  <r>
    <x v="1574"/>
    <x v="1"/>
    <x v="9"/>
    <n v="61.7"/>
    <x v="1269"/>
    <d v="2025-02-28T00:00:00"/>
    <x v="57"/>
    <x v="2"/>
    <x v="2"/>
    <x v="0"/>
    <s v="California"/>
    <x v="8"/>
    <x v="1"/>
    <x v="8"/>
    <x v="2"/>
  </r>
  <r>
    <x v="1575"/>
    <x v="8"/>
    <x v="9"/>
    <n v="18.2"/>
    <x v="1270"/>
    <d v="2025-02-28T00:00:00"/>
    <x v="57"/>
    <x v="2"/>
    <x v="3"/>
    <x v="0"/>
    <s v="California"/>
    <x v="8"/>
    <x v="1"/>
    <x v="8"/>
    <x v="2"/>
  </r>
  <r>
    <x v="1576"/>
    <x v="10"/>
    <x v="12"/>
    <n v="37.200000000000003"/>
    <x v="956"/>
    <d v="2025-02-28T00:00:00"/>
    <x v="66"/>
    <x v="2"/>
    <x v="0"/>
    <x v="0"/>
    <s v="California"/>
    <x v="8"/>
    <x v="4"/>
    <x v="8"/>
    <x v="2"/>
  </r>
  <r>
    <x v="1577"/>
    <x v="9"/>
    <x v="2"/>
    <n v="53.5"/>
    <x v="1271"/>
    <d v="2025-02-28T00:00:00"/>
    <x v="57"/>
    <x v="2"/>
    <x v="1"/>
    <x v="2"/>
    <s v="California"/>
    <x v="9"/>
    <x v="1"/>
    <x v="8"/>
    <x v="2"/>
  </r>
  <r>
    <x v="1578"/>
    <x v="8"/>
    <x v="2"/>
    <n v="43.6"/>
    <x v="1272"/>
    <d v="2025-02-28T00:00:00"/>
    <x v="58"/>
    <x v="2"/>
    <x v="0"/>
    <x v="0"/>
    <s v="California"/>
    <x v="9"/>
    <x v="7"/>
    <x v="8"/>
    <x v="2"/>
  </r>
  <r>
    <x v="1579"/>
    <x v="1"/>
    <x v="7"/>
    <n v="135"/>
    <x v="1273"/>
    <d v="2025-02-28T00:00:00"/>
    <x v="57"/>
    <x v="2"/>
    <x v="0"/>
    <x v="2"/>
    <s v="California"/>
    <x v="9"/>
    <x v="1"/>
    <x v="8"/>
    <x v="2"/>
  </r>
  <r>
    <x v="1580"/>
    <x v="8"/>
    <x v="9"/>
    <n v="38.5"/>
    <x v="796"/>
    <d v="2025-02-28T00:00:00"/>
    <x v="58"/>
    <x v="1"/>
    <x v="4"/>
    <x v="2"/>
    <s v="California"/>
    <x v="10"/>
    <x v="7"/>
    <x v="8"/>
    <x v="1"/>
  </r>
  <r>
    <x v="1581"/>
    <x v="9"/>
    <x v="1"/>
    <n v="24"/>
    <x v="510"/>
    <d v="2025-02-28T00:00:00"/>
    <x v="63"/>
    <x v="2"/>
    <x v="0"/>
    <x v="0"/>
    <s v="California"/>
    <x v="11"/>
    <x v="0"/>
    <x v="8"/>
    <x v="2"/>
  </r>
  <r>
    <x v="1582"/>
    <x v="4"/>
    <x v="2"/>
    <n v="28.2"/>
    <x v="1274"/>
    <d v="2025-02-28T00:00:00"/>
    <x v="57"/>
    <x v="1"/>
    <x v="0"/>
    <x v="3"/>
    <s v="California"/>
    <x v="18"/>
    <x v="1"/>
    <x v="8"/>
    <x v="1"/>
  </r>
  <r>
    <x v="1583"/>
    <x v="7"/>
    <x v="2"/>
    <n v="37.4"/>
    <x v="794"/>
    <d v="2025-02-28T00:00:00"/>
    <x v="59"/>
    <x v="2"/>
    <x v="3"/>
    <x v="0"/>
    <s v="California"/>
    <x v="1"/>
    <x v="3"/>
    <x v="8"/>
    <x v="2"/>
  </r>
  <r>
    <x v="1584"/>
    <x v="6"/>
    <x v="2"/>
    <n v="53.5"/>
    <x v="1271"/>
    <d v="2025-02-28T00:00:00"/>
    <x v="62"/>
    <x v="0"/>
    <x v="4"/>
    <x v="4"/>
    <s v="California"/>
    <x v="1"/>
    <x v="2"/>
    <x v="8"/>
    <x v="0"/>
  </r>
  <r>
    <x v="1585"/>
    <x v="11"/>
    <x v="9"/>
    <n v="36.200000000000003"/>
    <x v="1275"/>
    <d v="2025-02-28T00:00:00"/>
    <x v="59"/>
    <x v="1"/>
    <x v="1"/>
    <x v="2"/>
    <s v="California"/>
    <x v="33"/>
    <x v="3"/>
    <x v="8"/>
    <x v="1"/>
  </r>
  <r>
    <x v="1586"/>
    <x v="0"/>
    <x v="8"/>
    <n v="31.9"/>
    <x v="281"/>
    <d v="2025-02-28T00:00:00"/>
    <x v="59"/>
    <x v="2"/>
    <x v="4"/>
    <x v="0"/>
    <s v="California"/>
    <x v="3"/>
    <x v="3"/>
    <x v="8"/>
    <x v="2"/>
  </r>
  <r>
    <x v="1587"/>
    <x v="8"/>
    <x v="2"/>
    <n v="21.3"/>
    <x v="1276"/>
    <d v="2025-02-28T00:00:00"/>
    <x v="59"/>
    <x v="1"/>
    <x v="0"/>
    <x v="2"/>
    <s v="California"/>
    <x v="3"/>
    <x v="3"/>
    <x v="8"/>
    <x v="1"/>
  </r>
  <r>
    <x v="1588"/>
    <x v="8"/>
    <x v="0"/>
    <n v="36.299999999999997"/>
    <x v="1277"/>
    <d v="2025-02-28T00:00:00"/>
    <x v="57"/>
    <x v="3"/>
    <x v="4"/>
    <x v="0"/>
    <s v="California"/>
    <x v="3"/>
    <x v="1"/>
    <x v="8"/>
    <x v="3"/>
  </r>
  <r>
    <x v="1589"/>
    <x v="6"/>
    <x v="2"/>
    <n v="110.5"/>
    <x v="1278"/>
    <d v="2025-02-28T00:00:00"/>
    <x v="59"/>
    <x v="2"/>
    <x v="0"/>
    <x v="3"/>
    <s v="California"/>
    <x v="3"/>
    <x v="3"/>
    <x v="8"/>
    <x v="2"/>
  </r>
  <r>
    <x v="1590"/>
    <x v="10"/>
    <x v="3"/>
    <n v="32.6"/>
    <x v="1279"/>
    <d v="2025-02-28T00:00:00"/>
    <x v="57"/>
    <x v="2"/>
    <x v="0"/>
    <x v="1"/>
    <s v="California"/>
    <x v="3"/>
    <x v="1"/>
    <x v="8"/>
    <x v="2"/>
  </r>
  <r>
    <x v="1591"/>
    <x v="5"/>
    <x v="2"/>
    <n v="55.6"/>
    <x v="701"/>
    <d v="2025-03-01T00:00:00"/>
    <x v="67"/>
    <x v="2"/>
    <x v="0"/>
    <x v="0"/>
    <s v="California"/>
    <x v="3"/>
    <x v="10"/>
    <x v="8"/>
    <x v="2"/>
  </r>
  <r>
    <x v="1592"/>
    <x v="1"/>
    <x v="12"/>
    <n v="38"/>
    <x v="465"/>
    <d v="2025-03-01T00:00:00"/>
    <x v="57"/>
    <x v="2"/>
    <x v="3"/>
    <x v="2"/>
    <s v="California"/>
    <x v="5"/>
    <x v="3"/>
    <x v="8"/>
    <x v="2"/>
  </r>
  <r>
    <x v="1593"/>
    <x v="10"/>
    <x v="1"/>
    <n v="51.8"/>
    <x v="186"/>
    <d v="2025-03-01T00:00:00"/>
    <x v="68"/>
    <x v="1"/>
    <x v="1"/>
    <x v="4"/>
    <s v="California"/>
    <x v="6"/>
    <x v="4"/>
    <x v="8"/>
    <x v="1"/>
  </r>
  <r>
    <x v="1594"/>
    <x v="11"/>
    <x v="8"/>
    <n v="28.7"/>
    <x v="1166"/>
    <d v="2025-03-01T00:00:00"/>
    <x v="66"/>
    <x v="2"/>
    <x v="0"/>
    <x v="0"/>
    <s v="California"/>
    <x v="6"/>
    <x v="0"/>
    <x v="8"/>
    <x v="2"/>
  </r>
  <r>
    <x v="1595"/>
    <x v="6"/>
    <x v="4"/>
    <n v="52.2"/>
    <x v="1280"/>
    <d v="2025-03-01T00:00:00"/>
    <x v="59"/>
    <x v="1"/>
    <x v="0"/>
    <x v="1"/>
    <s v="California"/>
    <x v="6"/>
    <x v="7"/>
    <x v="8"/>
    <x v="1"/>
  </r>
  <r>
    <x v="1596"/>
    <x v="1"/>
    <x v="1"/>
    <n v="68.2"/>
    <x v="517"/>
    <d v="2025-03-01T00:00:00"/>
    <x v="57"/>
    <x v="0"/>
    <x v="2"/>
    <x v="0"/>
    <s v="California"/>
    <x v="7"/>
    <x v="3"/>
    <x v="8"/>
    <x v="0"/>
  </r>
  <r>
    <x v="1597"/>
    <x v="0"/>
    <x v="2"/>
    <n v="34"/>
    <x v="1062"/>
    <d v="2025-03-01T00:00:00"/>
    <x v="63"/>
    <x v="2"/>
    <x v="0"/>
    <x v="0"/>
    <s v="California"/>
    <x v="8"/>
    <x v="5"/>
    <x v="8"/>
    <x v="2"/>
  </r>
  <r>
    <x v="1598"/>
    <x v="8"/>
    <x v="2"/>
    <n v="19.100000000000001"/>
    <x v="1281"/>
    <d v="2025-03-01T00:00:00"/>
    <x v="57"/>
    <x v="2"/>
    <x v="4"/>
    <x v="0"/>
    <s v="California"/>
    <x v="8"/>
    <x v="3"/>
    <x v="8"/>
    <x v="2"/>
  </r>
  <r>
    <x v="1599"/>
    <x v="5"/>
    <x v="8"/>
    <n v="34"/>
    <x v="1123"/>
    <d v="2025-03-01T00:00:00"/>
    <x v="60"/>
    <x v="2"/>
    <x v="4"/>
    <x v="0"/>
    <s v="California"/>
    <x v="8"/>
    <x v="9"/>
    <x v="8"/>
    <x v="2"/>
  </r>
  <r>
    <x v="1600"/>
    <x v="12"/>
    <x v="1"/>
    <n v="109.1"/>
    <x v="1282"/>
    <d v="2025-03-01T00:00:00"/>
    <x v="62"/>
    <x v="1"/>
    <x v="0"/>
    <x v="2"/>
    <s v="California"/>
    <x v="8"/>
    <x v="1"/>
    <x v="8"/>
    <x v="1"/>
  </r>
  <r>
    <x v="1601"/>
    <x v="18"/>
    <x v="1"/>
    <n v="64.8"/>
    <x v="632"/>
    <d v="2025-03-01T00:00:00"/>
    <x v="62"/>
    <x v="1"/>
    <x v="0"/>
    <x v="2"/>
    <s v="California"/>
    <x v="8"/>
    <x v="1"/>
    <x v="8"/>
    <x v="1"/>
  </r>
  <r>
    <x v="1602"/>
    <x v="10"/>
    <x v="1"/>
    <n v="21.1"/>
    <x v="1283"/>
    <d v="2025-03-01T00:00:00"/>
    <x v="59"/>
    <x v="2"/>
    <x v="1"/>
    <x v="0"/>
    <s v="California"/>
    <x v="11"/>
    <x v="7"/>
    <x v="8"/>
    <x v="2"/>
  </r>
  <r>
    <x v="1603"/>
    <x v="0"/>
    <x v="8"/>
    <n v="21.3"/>
    <x v="1284"/>
    <d v="2025-03-01T00:00:00"/>
    <x v="62"/>
    <x v="1"/>
    <x v="3"/>
    <x v="1"/>
    <s v="California"/>
    <x v="18"/>
    <x v="1"/>
    <x v="8"/>
    <x v="1"/>
  </r>
  <r>
    <x v="1604"/>
    <x v="9"/>
    <x v="2"/>
    <n v="24.3"/>
    <x v="1285"/>
    <d v="2025-03-01T00:00:00"/>
    <x v="57"/>
    <x v="1"/>
    <x v="1"/>
    <x v="0"/>
    <s v="California"/>
    <x v="19"/>
    <x v="3"/>
    <x v="8"/>
    <x v="1"/>
  </r>
  <r>
    <x v="1605"/>
    <x v="8"/>
    <x v="0"/>
    <n v="43.3"/>
    <x v="1286"/>
    <d v="2025-03-01T00:00:00"/>
    <x v="63"/>
    <x v="1"/>
    <x v="1"/>
    <x v="1"/>
    <s v="California"/>
    <x v="13"/>
    <x v="5"/>
    <x v="8"/>
    <x v="1"/>
  </r>
  <r>
    <x v="1606"/>
    <x v="9"/>
    <x v="2"/>
    <n v="41"/>
    <x v="1287"/>
    <d v="2025-03-01T00:00:00"/>
    <x v="57"/>
    <x v="2"/>
    <x v="3"/>
    <x v="4"/>
    <s v="California"/>
    <x v="21"/>
    <x v="3"/>
    <x v="8"/>
    <x v="2"/>
  </r>
  <r>
    <x v="1607"/>
    <x v="16"/>
    <x v="2"/>
    <n v="54.1"/>
    <x v="1288"/>
    <d v="2025-03-01T00:00:00"/>
    <x v="62"/>
    <x v="2"/>
    <x v="4"/>
    <x v="0"/>
    <s v="California"/>
    <x v="21"/>
    <x v="1"/>
    <x v="8"/>
    <x v="2"/>
  </r>
  <r>
    <x v="1608"/>
    <x v="11"/>
    <x v="1"/>
    <n v="39"/>
    <x v="292"/>
    <d v="2025-03-01T00:00:00"/>
    <x v="57"/>
    <x v="1"/>
    <x v="1"/>
    <x v="2"/>
    <s v="California"/>
    <x v="1"/>
    <x v="3"/>
    <x v="8"/>
    <x v="1"/>
  </r>
  <r>
    <x v="1609"/>
    <x v="8"/>
    <x v="1"/>
    <n v="40.299999999999997"/>
    <x v="7"/>
    <d v="2025-03-01T00:00:00"/>
    <x v="62"/>
    <x v="1"/>
    <x v="3"/>
    <x v="0"/>
    <s v="California"/>
    <x v="27"/>
    <x v="1"/>
    <x v="8"/>
    <x v="1"/>
  </r>
  <r>
    <x v="1610"/>
    <x v="8"/>
    <x v="2"/>
    <n v="24.1"/>
    <x v="1289"/>
    <d v="2025-03-01T00:00:00"/>
    <x v="57"/>
    <x v="1"/>
    <x v="0"/>
    <x v="2"/>
    <s v="California"/>
    <x v="34"/>
    <x v="3"/>
    <x v="8"/>
    <x v="1"/>
  </r>
  <r>
    <x v="1611"/>
    <x v="6"/>
    <x v="9"/>
    <n v="52.3"/>
    <x v="1290"/>
    <d v="2025-03-01T00:00:00"/>
    <x v="57"/>
    <x v="1"/>
    <x v="2"/>
    <x v="0"/>
    <s v="California"/>
    <x v="3"/>
    <x v="3"/>
    <x v="8"/>
    <x v="1"/>
  </r>
  <r>
    <x v="1612"/>
    <x v="12"/>
    <x v="12"/>
    <n v="68.8"/>
    <x v="1291"/>
    <d v="2025-03-01T00:00:00"/>
    <x v="63"/>
    <x v="2"/>
    <x v="4"/>
    <x v="2"/>
    <s v="California"/>
    <x v="3"/>
    <x v="5"/>
    <x v="8"/>
    <x v="2"/>
  </r>
  <r>
    <x v="1613"/>
    <x v="2"/>
    <x v="1"/>
    <n v="128.80000000000001"/>
    <x v="1292"/>
    <d v="2025-03-02T00:00:00"/>
    <x v="63"/>
    <x v="2"/>
    <x v="1"/>
    <x v="1"/>
    <s v="California"/>
    <x v="3"/>
    <x v="2"/>
    <x v="9"/>
    <x v="2"/>
  </r>
  <r>
    <x v="1614"/>
    <x v="15"/>
    <x v="9"/>
    <n v="48.2"/>
    <x v="1044"/>
    <d v="2025-03-02T00:00:00"/>
    <x v="61"/>
    <x v="2"/>
    <x v="3"/>
    <x v="0"/>
    <s v="California"/>
    <x v="3"/>
    <x v="1"/>
    <x v="9"/>
    <x v="2"/>
  </r>
  <r>
    <x v="1615"/>
    <x v="10"/>
    <x v="0"/>
    <n v="39.700000000000003"/>
    <x v="144"/>
    <d v="2025-03-02T00:00:00"/>
    <x v="61"/>
    <x v="2"/>
    <x v="0"/>
    <x v="1"/>
    <s v="California"/>
    <x v="3"/>
    <x v="1"/>
    <x v="9"/>
    <x v="2"/>
  </r>
  <r>
    <x v="1616"/>
    <x v="9"/>
    <x v="0"/>
    <n v="59.7"/>
    <x v="1201"/>
    <d v="2025-03-02T00:00:00"/>
    <x v="63"/>
    <x v="2"/>
    <x v="4"/>
    <x v="0"/>
    <s v="California"/>
    <x v="3"/>
    <x v="2"/>
    <x v="9"/>
    <x v="2"/>
  </r>
  <r>
    <x v="1617"/>
    <x v="6"/>
    <x v="0"/>
    <n v="48.3"/>
    <x v="1293"/>
    <d v="2025-03-02T00:00:00"/>
    <x v="69"/>
    <x v="3"/>
    <x v="0"/>
    <x v="2"/>
    <s v="California"/>
    <x v="3"/>
    <x v="12"/>
    <x v="9"/>
    <x v="3"/>
  </r>
  <r>
    <x v="1618"/>
    <x v="8"/>
    <x v="2"/>
    <n v="45.5"/>
    <x v="1294"/>
    <d v="2025-03-02T00:00:00"/>
    <x v="61"/>
    <x v="1"/>
    <x v="2"/>
    <x v="1"/>
    <s v="California"/>
    <x v="3"/>
    <x v="1"/>
    <x v="9"/>
    <x v="1"/>
  </r>
  <r>
    <x v="1619"/>
    <x v="9"/>
    <x v="6"/>
    <n v="51"/>
    <x v="1295"/>
    <d v="2025-03-02T00:00:00"/>
    <x v="57"/>
    <x v="2"/>
    <x v="2"/>
    <x v="0"/>
    <s v="California"/>
    <x v="3"/>
    <x v="7"/>
    <x v="9"/>
    <x v="2"/>
  </r>
  <r>
    <x v="1620"/>
    <x v="4"/>
    <x v="13"/>
    <n v="20.399999999999999"/>
    <x v="1296"/>
    <d v="2025-03-02T00:00:00"/>
    <x v="62"/>
    <x v="1"/>
    <x v="2"/>
    <x v="0"/>
    <s v="California"/>
    <x v="3"/>
    <x v="3"/>
    <x v="9"/>
    <x v="1"/>
  </r>
  <r>
    <x v="1621"/>
    <x v="10"/>
    <x v="1"/>
    <n v="30.4"/>
    <x v="1297"/>
    <d v="2025-03-02T00:00:00"/>
    <x v="61"/>
    <x v="1"/>
    <x v="2"/>
    <x v="0"/>
    <s v="California"/>
    <x v="3"/>
    <x v="1"/>
    <x v="9"/>
    <x v="1"/>
  </r>
  <r>
    <x v="1622"/>
    <x v="7"/>
    <x v="1"/>
    <n v="71.5"/>
    <x v="1298"/>
    <d v="2025-03-02T00:00:00"/>
    <x v="66"/>
    <x v="2"/>
    <x v="0"/>
    <x v="0"/>
    <s v="California"/>
    <x v="3"/>
    <x v="5"/>
    <x v="9"/>
    <x v="2"/>
  </r>
  <r>
    <x v="1623"/>
    <x v="8"/>
    <x v="13"/>
    <n v="18"/>
    <x v="807"/>
    <d v="2025-03-02T00:00:00"/>
    <x v="62"/>
    <x v="3"/>
    <x v="1"/>
    <x v="2"/>
    <s v="California"/>
    <x v="6"/>
    <x v="3"/>
    <x v="9"/>
    <x v="3"/>
  </r>
  <r>
    <x v="1624"/>
    <x v="15"/>
    <x v="5"/>
    <n v="45.6"/>
    <x v="1299"/>
    <d v="2025-03-02T00:00:00"/>
    <x v="62"/>
    <x v="3"/>
    <x v="1"/>
    <x v="1"/>
    <s v="California"/>
    <x v="7"/>
    <x v="3"/>
    <x v="9"/>
    <x v="3"/>
  </r>
  <r>
    <x v="1625"/>
    <x v="9"/>
    <x v="0"/>
    <n v="31.8"/>
    <x v="627"/>
    <d v="2025-03-02T00:00:00"/>
    <x v="66"/>
    <x v="2"/>
    <x v="0"/>
    <x v="2"/>
    <s v="California"/>
    <x v="7"/>
    <x v="5"/>
    <x v="9"/>
    <x v="2"/>
  </r>
  <r>
    <x v="1626"/>
    <x v="8"/>
    <x v="9"/>
    <n v="19.899999999999999"/>
    <x v="1300"/>
    <d v="2025-03-02T00:00:00"/>
    <x v="62"/>
    <x v="2"/>
    <x v="1"/>
    <x v="0"/>
    <s v="California"/>
    <x v="7"/>
    <x v="3"/>
    <x v="9"/>
    <x v="2"/>
  </r>
  <r>
    <x v="1627"/>
    <x v="12"/>
    <x v="11"/>
    <n v="52.1"/>
    <x v="1301"/>
    <d v="2025-03-02T00:00:00"/>
    <x v="61"/>
    <x v="1"/>
    <x v="0"/>
    <x v="0"/>
    <s v="California"/>
    <x v="8"/>
    <x v="1"/>
    <x v="9"/>
    <x v="1"/>
  </r>
  <r>
    <x v="1628"/>
    <x v="1"/>
    <x v="3"/>
    <n v="45.9"/>
    <x v="1198"/>
    <d v="2025-03-02T00:00:00"/>
    <x v="62"/>
    <x v="1"/>
    <x v="0"/>
    <x v="1"/>
    <s v="California"/>
    <x v="8"/>
    <x v="3"/>
    <x v="9"/>
    <x v="1"/>
  </r>
  <r>
    <x v="1629"/>
    <x v="1"/>
    <x v="7"/>
    <n v="115.9"/>
    <x v="1302"/>
    <d v="2025-03-02T00:00:00"/>
    <x v="63"/>
    <x v="2"/>
    <x v="1"/>
    <x v="0"/>
    <s v="California"/>
    <x v="8"/>
    <x v="2"/>
    <x v="9"/>
    <x v="2"/>
  </r>
  <r>
    <x v="1630"/>
    <x v="6"/>
    <x v="11"/>
    <n v="86"/>
    <x v="1303"/>
    <d v="2025-03-02T00:00:00"/>
    <x v="68"/>
    <x v="2"/>
    <x v="0"/>
    <x v="1"/>
    <s v="California"/>
    <x v="8"/>
    <x v="0"/>
    <x v="9"/>
    <x v="2"/>
  </r>
  <r>
    <x v="1631"/>
    <x v="7"/>
    <x v="3"/>
    <n v="73.599999999999994"/>
    <x v="1304"/>
    <d v="2025-03-02T00:00:00"/>
    <x v="61"/>
    <x v="2"/>
    <x v="0"/>
    <x v="0"/>
    <s v="California"/>
    <x v="17"/>
    <x v="1"/>
    <x v="9"/>
    <x v="2"/>
  </r>
  <r>
    <x v="1632"/>
    <x v="10"/>
    <x v="2"/>
    <n v="26.7"/>
    <x v="1133"/>
    <d v="2025-03-02T00:00:00"/>
    <x v="66"/>
    <x v="2"/>
    <x v="0"/>
    <x v="0"/>
    <s v="California"/>
    <x v="11"/>
    <x v="5"/>
    <x v="9"/>
    <x v="2"/>
  </r>
  <r>
    <x v="1633"/>
    <x v="8"/>
    <x v="3"/>
    <n v="46.6"/>
    <x v="1305"/>
    <d v="2025-03-02T00:00:00"/>
    <x v="61"/>
    <x v="0"/>
    <x v="3"/>
    <x v="0"/>
    <s v="California"/>
    <x v="11"/>
    <x v="1"/>
    <x v="9"/>
    <x v="0"/>
  </r>
  <r>
    <x v="1634"/>
    <x v="3"/>
    <x v="2"/>
    <n v="84.6"/>
    <x v="1306"/>
    <d v="2025-03-02T00:00:00"/>
    <x v="61"/>
    <x v="1"/>
    <x v="4"/>
    <x v="0"/>
    <s v="California"/>
    <x v="11"/>
    <x v="1"/>
    <x v="9"/>
    <x v="1"/>
  </r>
  <r>
    <x v="1635"/>
    <x v="7"/>
    <x v="21"/>
    <n v="41.5"/>
    <x v="1307"/>
    <d v="2025-03-02T00:00:00"/>
    <x v="69"/>
    <x v="1"/>
    <x v="1"/>
    <x v="0"/>
    <s v="California"/>
    <x v="53"/>
    <x v="12"/>
    <x v="9"/>
    <x v="1"/>
  </r>
  <r>
    <x v="1636"/>
    <x v="8"/>
    <x v="0"/>
    <n v="32.799999999999997"/>
    <x v="944"/>
    <d v="2025-03-02T00:00:00"/>
    <x v="63"/>
    <x v="1"/>
    <x v="0"/>
    <x v="2"/>
    <s v="California"/>
    <x v="30"/>
    <x v="2"/>
    <x v="9"/>
    <x v="1"/>
  </r>
  <r>
    <x v="1637"/>
    <x v="4"/>
    <x v="3"/>
    <n v="46.7"/>
    <x v="1308"/>
    <d v="2025-03-02T00:00:00"/>
    <x v="61"/>
    <x v="3"/>
    <x v="0"/>
    <x v="2"/>
    <s v="California"/>
    <x v="18"/>
    <x v="1"/>
    <x v="9"/>
    <x v="3"/>
  </r>
  <r>
    <x v="1638"/>
    <x v="15"/>
    <x v="3"/>
    <n v="21"/>
    <x v="926"/>
    <d v="2025-03-02T00:00:00"/>
    <x v="63"/>
    <x v="1"/>
    <x v="2"/>
    <x v="1"/>
    <s v="California"/>
    <x v="21"/>
    <x v="2"/>
    <x v="9"/>
    <x v="1"/>
  </r>
  <r>
    <x v="1639"/>
    <x v="5"/>
    <x v="3"/>
    <n v="29.4"/>
    <x v="43"/>
    <d v="2025-03-02T00:00:00"/>
    <x v="57"/>
    <x v="1"/>
    <x v="3"/>
    <x v="2"/>
    <s v="California"/>
    <x v="21"/>
    <x v="7"/>
    <x v="9"/>
    <x v="1"/>
  </r>
  <r>
    <x v="1640"/>
    <x v="15"/>
    <x v="1"/>
    <n v="32.299999999999997"/>
    <x v="1099"/>
    <d v="2025-03-02T00:00:00"/>
    <x v="62"/>
    <x v="1"/>
    <x v="0"/>
    <x v="2"/>
    <s v="California"/>
    <x v="21"/>
    <x v="3"/>
    <x v="9"/>
    <x v="1"/>
  </r>
  <r>
    <x v="1641"/>
    <x v="6"/>
    <x v="0"/>
    <n v="42.2"/>
    <x v="1283"/>
    <d v="2025-03-03T00:00:00"/>
    <x v="63"/>
    <x v="2"/>
    <x v="0"/>
    <x v="2"/>
    <s v="California"/>
    <x v="21"/>
    <x v="1"/>
    <x v="9"/>
    <x v="2"/>
  </r>
  <r>
    <x v="1642"/>
    <x v="6"/>
    <x v="0"/>
    <n v="53.7"/>
    <x v="1309"/>
    <d v="2025-03-03T00:00:00"/>
    <x v="63"/>
    <x v="1"/>
    <x v="1"/>
    <x v="1"/>
    <s v="California"/>
    <x v="1"/>
    <x v="1"/>
    <x v="9"/>
    <x v="1"/>
  </r>
  <r>
    <x v="1643"/>
    <x v="2"/>
    <x v="1"/>
    <n v="123.9"/>
    <x v="1310"/>
    <d v="2025-03-03T00:00:00"/>
    <x v="66"/>
    <x v="1"/>
    <x v="2"/>
    <x v="0"/>
    <s v="California"/>
    <x v="1"/>
    <x v="2"/>
    <x v="9"/>
    <x v="1"/>
  </r>
  <r>
    <x v="1644"/>
    <x v="4"/>
    <x v="2"/>
    <n v="35.9"/>
    <x v="1311"/>
    <d v="2025-03-03T00:00:00"/>
    <x v="63"/>
    <x v="1"/>
    <x v="2"/>
    <x v="0"/>
    <s v="California"/>
    <x v="22"/>
    <x v="1"/>
    <x v="9"/>
    <x v="1"/>
  </r>
  <r>
    <x v="1645"/>
    <x v="4"/>
    <x v="1"/>
    <n v="23.6"/>
    <x v="828"/>
    <d v="2025-03-03T00:00:00"/>
    <x v="66"/>
    <x v="1"/>
    <x v="0"/>
    <x v="2"/>
    <s v="California"/>
    <x v="3"/>
    <x v="2"/>
    <x v="9"/>
    <x v="1"/>
  </r>
  <r>
    <x v="1646"/>
    <x v="15"/>
    <x v="36"/>
    <n v="45.7"/>
    <x v="1312"/>
    <d v="2025-03-03T00:00:00"/>
    <x v="61"/>
    <x v="1"/>
    <x v="0"/>
    <x v="1"/>
    <s v="California"/>
    <x v="3"/>
    <x v="3"/>
    <x v="9"/>
    <x v="1"/>
  </r>
  <r>
    <x v="1647"/>
    <x v="6"/>
    <x v="5"/>
    <n v="118.3"/>
    <x v="1313"/>
    <d v="2025-03-03T00:00:00"/>
    <x v="63"/>
    <x v="1"/>
    <x v="4"/>
    <x v="2"/>
    <s v="California"/>
    <x v="3"/>
    <x v="1"/>
    <x v="9"/>
    <x v="1"/>
  </r>
  <r>
    <x v="1648"/>
    <x v="19"/>
    <x v="0"/>
    <n v="36"/>
    <x v="53"/>
    <d v="2025-03-03T00:00:00"/>
    <x v="61"/>
    <x v="2"/>
    <x v="0"/>
    <x v="1"/>
    <s v="California"/>
    <x v="3"/>
    <x v="3"/>
    <x v="9"/>
    <x v="2"/>
  </r>
  <r>
    <x v="1649"/>
    <x v="8"/>
    <x v="1"/>
    <n v="37.1"/>
    <x v="1314"/>
    <d v="2025-03-03T00:00:00"/>
    <x v="66"/>
    <x v="2"/>
    <x v="2"/>
    <x v="0"/>
    <s v="California"/>
    <x v="3"/>
    <x v="2"/>
    <x v="9"/>
    <x v="2"/>
  </r>
  <r>
    <x v="1650"/>
    <x v="18"/>
    <x v="2"/>
    <n v="45.1"/>
    <x v="246"/>
    <d v="2025-03-03T00:00:00"/>
    <x v="63"/>
    <x v="2"/>
    <x v="1"/>
    <x v="2"/>
    <s v="California"/>
    <x v="3"/>
    <x v="1"/>
    <x v="9"/>
    <x v="2"/>
  </r>
  <r>
    <x v="1651"/>
    <x v="5"/>
    <x v="27"/>
    <n v="37.9"/>
    <x v="1315"/>
    <d v="2025-03-03T00:00:00"/>
    <x v="61"/>
    <x v="2"/>
    <x v="3"/>
    <x v="2"/>
    <s v="California"/>
    <x v="3"/>
    <x v="3"/>
    <x v="9"/>
    <x v="2"/>
  </r>
  <r>
    <x v="1652"/>
    <x v="2"/>
    <x v="1"/>
    <n v="121.6"/>
    <x v="1316"/>
    <d v="2025-03-03T00:00:00"/>
    <x v="66"/>
    <x v="1"/>
    <x v="3"/>
    <x v="2"/>
    <s v="California"/>
    <x v="3"/>
    <x v="2"/>
    <x v="9"/>
    <x v="1"/>
  </r>
  <r>
    <x v="1653"/>
    <x v="5"/>
    <x v="3"/>
    <n v="38.200000000000003"/>
    <x v="1317"/>
    <d v="2025-03-03T00:00:00"/>
    <x v="66"/>
    <x v="2"/>
    <x v="0"/>
    <x v="0"/>
    <s v="California"/>
    <x v="3"/>
    <x v="2"/>
    <x v="9"/>
    <x v="2"/>
  </r>
  <r>
    <x v="1654"/>
    <x v="17"/>
    <x v="1"/>
    <n v="37.200000000000003"/>
    <x v="610"/>
    <d v="2025-03-03T00:00:00"/>
    <x v="66"/>
    <x v="1"/>
    <x v="4"/>
    <x v="0"/>
    <s v="California"/>
    <x v="3"/>
    <x v="2"/>
    <x v="9"/>
    <x v="1"/>
  </r>
  <r>
    <x v="1655"/>
    <x v="2"/>
    <x v="12"/>
    <n v="115.7"/>
    <x v="1318"/>
    <d v="2025-03-03T00:00:00"/>
    <x v="66"/>
    <x v="2"/>
    <x v="1"/>
    <x v="0"/>
    <s v="California"/>
    <x v="3"/>
    <x v="2"/>
    <x v="9"/>
    <x v="2"/>
  </r>
  <r>
    <x v="1656"/>
    <x v="2"/>
    <x v="13"/>
    <n v="99.4"/>
    <x v="1319"/>
    <d v="2025-03-03T00:00:00"/>
    <x v="66"/>
    <x v="1"/>
    <x v="0"/>
    <x v="2"/>
    <s v="California"/>
    <x v="3"/>
    <x v="2"/>
    <x v="9"/>
    <x v="1"/>
  </r>
  <r>
    <x v="1657"/>
    <x v="11"/>
    <x v="0"/>
    <n v="38.700000000000003"/>
    <x v="1320"/>
    <d v="2025-03-03T00:00:00"/>
    <x v="61"/>
    <x v="2"/>
    <x v="2"/>
    <x v="0"/>
    <s v="California"/>
    <x v="25"/>
    <x v="3"/>
    <x v="9"/>
    <x v="2"/>
  </r>
  <r>
    <x v="1658"/>
    <x v="4"/>
    <x v="1"/>
    <n v="35.5"/>
    <x v="1321"/>
    <d v="2025-03-03T00:00:00"/>
    <x v="66"/>
    <x v="1"/>
    <x v="0"/>
    <x v="2"/>
    <s v="California"/>
    <x v="25"/>
    <x v="2"/>
    <x v="9"/>
    <x v="1"/>
  </r>
  <r>
    <x v="1659"/>
    <x v="2"/>
    <x v="12"/>
    <n v="93.3"/>
    <x v="1322"/>
    <d v="2025-03-03T00:00:00"/>
    <x v="66"/>
    <x v="2"/>
    <x v="0"/>
    <x v="2"/>
    <s v="California"/>
    <x v="6"/>
    <x v="2"/>
    <x v="9"/>
    <x v="2"/>
  </r>
  <r>
    <x v="1660"/>
    <x v="16"/>
    <x v="0"/>
    <n v="31.4"/>
    <x v="1323"/>
    <d v="2025-03-03T00:00:00"/>
    <x v="70"/>
    <x v="2"/>
    <x v="2"/>
    <x v="2"/>
    <s v="California"/>
    <x v="6"/>
    <x v="0"/>
    <x v="9"/>
    <x v="2"/>
  </r>
  <r>
    <x v="1661"/>
    <x v="1"/>
    <x v="0"/>
    <n v="85.9"/>
    <x v="1324"/>
    <d v="2025-03-03T00:00:00"/>
    <x v="66"/>
    <x v="1"/>
    <x v="1"/>
    <x v="0"/>
    <s v="California"/>
    <x v="6"/>
    <x v="2"/>
    <x v="9"/>
    <x v="1"/>
  </r>
  <r>
    <x v="1662"/>
    <x v="6"/>
    <x v="8"/>
    <n v="41.7"/>
    <x v="335"/>
    <d v="2025-03-03T00:00:00"/>
    <x v="71"/>
    <x v="1"/>
    <x v="0"/>
    <x v="2"/>
    <s v="California"/>
    <x v="7"/>
    <x v="9"/>
    <x v="9"/>
    <x v="1"/>
  </r>
  <r>
    <x v="1663"/>
    <x v="8"/>
    <x v="12"/>
    <n v="31.5"/>
    <x v="624"/>
    <d v="2025-03-03T00:00:00"/>
    <x v="61"/>
    <x v="2"/>
    <x v="0"/>
    <x v="0"/>
    <s v="California"/>
    <x v="7"/>
    <x v="3"/>
    <x v="9"/>
    <x v="2"/>
  </r>
  <r>
    <x v="1664"/>
    <x v="8"/>
    <x v="1"/>
    <n v="36.299999999999997"/>
    <x v="1325"/>
    <d v="2025-03-03T00:00:00"/>
    <x v="61"/>
    <x v="2"/>
    <x v="0"/>
    <x v="4"/>
    <s v="California"/>
    <x v="8"/>
    <x v="3"/>
    <x v="9"/>
    <x v="2"/>
  </r>
  <r>
    <x v="1665"/>
    <x v="8"/>
    <x v="2"/>
    <n v="33.4"/>
    <x v="1326"/>
    <d v="2025-03-03T00:00:00"/>
    <x v="61"/>
    <x v="2"/>
    <x v="3"/>
    <x v="0"/>
    <s v="California"/>
    <x v="17"/>
    <x v="3"/>
    <x v="9"/>
    <x v="2"/>
  </r>
  <r>
    <x v="1666"/>
    <x v="2"/>
    <x v="2"/>
    <n v="65.2"/>
    <x v="1327"/>
    <d v="2025-03-03T00:00:00"/>
    <x v="61"/>
    <x v="2"/>
    <x v="2"/>
    <x v="2"/>
    <s v="California"/>
    <x v="26"/>
    <x v="3"/>
    <x v="9"/>
    <x v="2"/>
  </r>
  <r>
    <x v="1667"/>
    <x v="8"/>
    <x v="11"/>
    <n v="65.5"/>
    <x v="1328"/>
    <d v="2025-03-03T00:00:00"/>
    <x v="66"/>
    <x v="2"/>
    <x v="0"/>
    <x v="2"/>
    <s v="California"/>
    <x v="9"/>
    <x v="2"/>
    <x v="9"/>
    <x v="2"/>
  </r>
  <r>
    <x v="1668"/>
    <x v="6"/>
    <x v="2"/>
    <n v="52.8"/>
    <x v="1329"/>
    <d v="2025-03-03T00:00:00"/>
    <x v="66"/>
    <x v="1"/>
    <x v="2"/>
    <x v="0"/>
    <s v="California"/>
    <x v="9"/>
    <x v="2"/>
    <x v="9"/>
    <x v="1"/>
  </r>
  <r>
    <x v="1669"/>
    <x v="9"/>
    <x v="9"/>
    <n v="24"/>
    <x v="160"/>
    <d v="2025-03-03T00:00:00"/>
    <x v="68"/>
    <x v="1"/>
    <x v="0"/>
    <x v="1"/>
    <s v="California"/>
    <x v="11"/>
    <x v="5"/>
    <x v="9"/>
    <x v="1"/>
  </r>
  <r>
    <x v="1670"/>
    <x v="3"/>
    <x v="2"/>
    <n v="51.2"/>
    <x v="1330"/>
    <d v="2025-03-03T00:00:00"/>
    <x v="61"/>
    <x v="2"/>
    <x v="0"/>
    <x v="0"/>
    <s v="California"/>
    <x v="32"/>
    <x v="3"/>
    <x v="9"/>
    <x v="2"/>
  </r>
  <r>
    <x v="1671"/>
    <x v="5"/>
    <x v="2"/>
    <n v="28.3"/>
    <x v="1331"/>
    <d v="2025-03-03T00:00:00"/>
    <x v="63"/>
    <x v="1"/>
    <x v="4"/>
    <x v="0"/>
    <s v="California"/>
    <x v="19"/>
    <x v="1"/>
    <x v="9"/>
    <x v="1"/>
  </r>
  <r>
    <x v="1672"/>
    <x v="6"/>
    <x v="2"/>
    <n v="42.3"/>
    <x v="1332"/>
    <d v="2025-03-03T00:00:00"/>
    <x v="62"/>
    <x v="2"/>
    <x v="2"/>
    <x v="1"/>
    <s v="California"/>
    <x v="19"/>
    <x v="7"/>
    <x v="9"/>
    <x v="2"/>
  </r>
  <r>
    <x v="1673"/>
    <x v="2"/>
    <x v="8"/>
    <n v="163.30000000000001"/>
    <x v="1333"/>
    <d v="2025-03-04T00:00:00"/>
    <x v="63"/>
    <x v="2"/>
    <x v="1"/>
    <x v="0"/>
    <s v="California"/>
    <x v="13"/>
    <x v="3"/>
    <x v="9"/>
    <x v="2"/>
  </r>
  <r>
    <x v="1674"/>
    <x v="6"/>
    <x v="3"/>
    <n v="47.3"/>
    <x v="1334"/>
    <d v="2025-03-04T00:00:00"/>
    <x v="68"/>
    <x v="2"/>
    <x v="4"/>
    <x v="1"/>
    <s v="California"/>
    <x v="21"/>
    <x v="2"/>
    <x v="9"/>
    <x v="2"/>
  </r>
  <r>
    <x v="1675"/>
    <x v="8"/>
    <x v="27"/>
    <n v="27.3"/>
    <x v="1335"/>
    <d v="2025-03-04T00:00:00"/>
    <x v="63"/>
    <x v="2"/>
    <x v="2"/>
    <x v="0"/>
    <s v="California"/>
    <x v="21"/>
    <x v="3"/>
    <x v="9"/>
    <x v="2"/>
  </r>
  <r>
    <x v="1676"/>
    <x v="10"/>
    <x v="13"/>
    <n v="34.9"/>
    <x v="1336"/>
    <d v="2025-03-04T00:00:00"/>
    <x v="72"/>
    <x v="2"/>
    <x v="0"/>
    <x v="0"/>
    <s v="California"/>
    <x v="21"/>
    <x v="11"/>
    <x v="9"/>
    <x v="2"/>
  </r>
  <r>
    <x v="1677"/>
    <x v="6"/>
    <x v="1"/>
    <n v="53.9"/>
    <x v="215"/>
    <d v="2025-03-04T00:00:00"/>
    <x v="68"/>
    <x v="3"/>
    <x v="0"/>
    <x v="4"/>
    <s v="California"/>
    <x v="1"/>
    <x v="2"/>
    <x v="9"/>
    <x v="3"/>
  </r>
  <r>
    <x v="1678"/>
    <x v="2"/>
    <x v="1"/>
    <n v="87.2"/>
    <x v="1337"/>
    <d v="2025-03-04T00:00:00"/>
    <x v="63"/>
    <x v="2"/>
    <x v="0"/>
    <x v="1"/>
    <s v="California"/>
    <x v="1"/>
    <x v="3"/>
    <x v="9"/>
    <x v="2"/>
  </r>
  <r>
    <x v="1679"/>
    <x v="15"/>
    <x v="0"/>
    <n v="58.8"/>
    <x v="572"/>
    <d v="2025-03-04T00:00:00"/>
    <x v="66"/>
    <x v="2"/>
    <x v="2"/>
    <x v="0"/>
    <s v="California"/>
    <x v="44"/>
    <x v="1"/>
    <x v="9"/>
    <x v="2"/>
  </r>
  <r>
    <x v="1680"/>
    <x v="2"/>
    <x v="3"/>
    <n v="125.5"/>
    <x v="1338"/>
    <d v="2025-03-04T00:00:00"/>
    <x v="63"/>
    <x v="1"/>
    <x v="2"/>
    <x v="4"/>
    <s v="California"/>
    <x v="22"/>
    <x v="3"/>
    <x v="9"/>
    <x v="1"/>
  </r>
  <r>
    <x v="1681"/>
    <x v="1"/>
    <x v="12"/>
    <n v="124.6"/>
    <x v="1339"/>
    <d v="2025-03-04T00:00:00"/>
    <x v="66"/>
    <x v="2"/>
    <x v="0"/>
    <x v="1"/>
    <s v="California"/>
    <x v="22"/>
    <x v="1"/>
    <x v="9"/>
    <x v="2"/>
  </r>
  <r>
    <x v="1682"/>
    <x v="1"/>
    <x v="3"/>
    <n v="39.9"/>
    <x v="1340"/>
    <d v="2025-03-04T00:00:00"/>
    <x v="63"/>
    <x v="1"/>
    <x v="2"/>
    <x v="1"/>
    <s v="California"/>
    <x v="3"/>
    <x v="3"/>
    <x v="9"/>
    <x v="1"/>
  </r>
  <r>
    <x v="1683"/>
    <x v="6"/>
    <x v="0"/>
    <n v="94.6"/>
    <x v="422"/>
    <d v="2025-03-04T00:00:00"/>
    <x v="73"/>
    <x v="2"/>
    <x v="0"/>
    <x v="1"/>
    <s v="California"/>
    <x v="3"/>
    <x v="12"/>
    <x v="9"/>
    <x v="2"/>
  </r>
  <r>
    <x v="1684"/>
    <x v="2"/>
    <x v="1"/>
    <n v="149.6"/>
    <x v="1341"/>
    <d v="2025-03-04T00:00:00"/>
    <x v="63"/>
    <x v="2"/>
    <x v="0"/>
    <x v="0"/>
    <s v="California"/>
    <x v="3"/>
    <x v="3"/>
    <x v="9"/>
    <x v="2"/>
  </r>
  <r>
    <x v="1685"/>
    <x v="8"/>
    <x v="0"/>
    <n v="52.2"/>
    <x v="1342"/>
    <d v="2025-03-04T00:00:00"/>
    <x v="63"/>
    <x v="0"/>
    <x v="1"/>
    <x v="0"/>
    <s v="California"/>
    <x v="3"/>
    <x v="3"/>
    <x v="9"/>
    <x v="0"/>
  </r>
  <r>
    <x v="1686"/>
    <x v="6"/>
    <x v="1"/>
    <n v="96.5"/>
    <x v="1343"/>
    <d v="2025-03-04T00:00:00"/>
    <x v="63"/>
    <x v="2"/>
    <x v="1"/>
    <x v="1"/>
    <s v="California"/>
    <x v="3"/>
    <x v="3"/>
    <x v="9"/>
    <x v="2"/>
  </r>
  <r>
    <x v="1687"/>
    <x v="8"/>
    <x v="1"/>
    <n v="79.8"/>
    <x v="1344"/>
    <d v="2025-03-04T00:00:00"/>
    <x v="66"/>
    <x v="2"/>
    <x v="0"/>
    <x v="1"/>
    <s v="California"/>
    <x v="3"/>
    <x v="1"/>
    <x v="9"/>
    <x v="2"/>
  </r>
  <r>
    <x v="1688"/>
    <x v="8"/>
    <x v="2"/>
    <n v="35.6"/>
    <x v="694"/>
    <d v="2025-03-04T00:00:00"/>
    <x v="63"/>
    <x v="2"/>
    <x v="2"/>
    <x v="0"/>
    <s v="California"/>
    <x v="3"/>
    <x v="3"/>
    <x v="9"/>
    <x v="2"/>
  </r>
  <r>
    <x v="1689"/>
    <x v="16"/>
    <x v="0"/>
    <n v="50.2"/>
    <x v="486"/>
    <d v="2025-03-04T00:00:00"/>
    <x v="63"/>
    <x v="2"/>
    <x v="1"/>
    <x v="2"/>
    <s v="California"/>
    <x v="3"/>
    <x v="3"/>
    <x v="9"/>
    <x v="2"/>
  </r>
  <r>
    <x v="1690"/>
    <x v="1"/>
    <x v="2"/>
    <n v="55.3"/>
    <x v="1345"/>
    <d v="2025-03-04T00:00:00"/>
    <x v="68"/>
    <x v="2"/>
    <x v="0"/>
    <x v="4"/>
    <s v="California"/>
    <x v="40"/>
    <x v="2"/>
    <x v="9"/>
    <x v="2"/>
  </r>
  <r>
    <x v="1691"/>
    <x v="6"/>
    <x v="3"/>
    <n v="104.5"/>
    <x v="1346"/>
    <d v="2025-03-04T00:00:00"/>
    <x v="70"/>
    <x v="2"/>
    <x v="1"/>
    <x v="0"/>
    <s v="California"/>
    <x v="7"/>
    <x v="5"/>
    <x v="9"/>
    <x v="2"/>
  </r>
  <r>
    <x v="1692"/>
    <x v="6"/>
    <x v="12"/>
    <n v="66.5"/>
    <x v="751"/>
    <d v="2025-03-04T00:00:00"/>
    <x v="66"/>
    <x v="1"/>
    <x v="1"/>
    <x v="0"/>
    <s v="California"/>
    <x v="7"/>
    <x v="1"/>
    <x v="9"/>
    <x v="1"/>
  </r>
  <r>
    <x v="1693"/>
    <x v="10"/>
    <x v="8"/>
    <n v="38.299999999999997"/>
    <x v="1347"/>
    <d v="2025-03-04T00:00:00"/>
    <x v="63"/>
    <x v="2"/>
    <x v="0"/>
    <x v="0"/>
    <s v="California"/>
    <x v="7"/>
    <x v="3"/>
    <x v="9"/>
    <x v="2"/>
  </r>
  <r>
    <x v="1694"/>
    <x v="6"/>
    <x v="2"/>
    <n v="63.8"/>
    <x v="1348"/>
    <d v="2025-03-04T00:00:00"/>
    <x v="68"/>
    <x v="2"/>
    <x v="1"/>
    <x v="0"/>
    <s v="California"/>
    <x v="8"/>
    <x v="2"/>
    <x v="9"/>
    <x v="2"/>
  </r>
  <r>
    <x v="1695"/>
    <x v="15"/>
    <x v="0"/>
    <n v="21.4"/>
    <x v="1349"/>
    <d v="2025-03-04T00:00:00"/>
    <x v="61"/>
    <x v="1"/>
    <x v="4"/>
    <x v="0"/>
    <s v="California"/>
    <x v="8"/>
    <x v="7"/>
    <x v="9"/>
    <x v="1"/>
  </r>
  <r>
    <x v="1696"/>
    <x v="8"/>
    <x v="12"/>
    <n v="44.1"/>
    <x v="1350"/>
    <d v="2025-03-04T00:00:00"/>
    <x v="66"/>
    <x v="2"/>
    <x v="2"/>
    <x v="0"/>
    <s v="California"/>
    <x v="8"/>
    <x v="1"/>
    <x v="9"/>
    <x v="2"/>
  </r>
  <r>
    <x v="1697"/>
    <x v="5"/>
    <x v="8"/>
    <n v="57.6"/>
    <x v="1351"/>
    <d v="2025-03-04T00:00:00"/>
    <x v="66"/>
    <x v="1"/>
    <x v="1"/>
    <x v="2"/>
    <s v="California"/>
    <x v="8"/>
    <x v="1"/>
    <x v="9"/>
    <x v="1"/>
  </r>
  <r>
    <x v="1698"/>
    <x v="9"/>
    <x v="1"/>
    <n v="20.3"/>
    <x v="1352"/>
    <d v="2025-03-04T00:00:00"/>
    <x v="65"/>
    <x v="2"/>
    <x v="3"/>
    <x v="0"/>
    <s v="California"/>
    <x v="8"/>
    <x v="4"/>
    <x v="9"/>
    <x v="2"/>
  </r>
  <r>
    <x v="1699"/>
    <x v="8"/>
    <x v="0"/>
    <n v="22.9"/>
    <x v="1246"/>
    <d v="2025-03-04T00:00:00"/>
    <x v="66"/>
    <x v="2"/>
    <x v="2"/>
    <x v="2"/>
    <s v="California"/>
    <x v="8"/>
    <x v="1"/>
    <x v="9"/>
    <x v="2"/>
  </r>
  <r>
    <x v="1700"/>
    <x v="6"/>
    <x v="12"/>
    <n v="105.9"/>
    <x v="1353"/>
    <d v="2025-03-04T00:00:00"/>
    <x v="63"/>
    <x v="2"/>
    <x v="1"/>
    <x v="2"/>
    <s v="California"/>
    <x v="17"/>
    <x v="3"/>
    <x v="9"/>
    <x v="2"/>
  </r>
  <r>
    <x v="1701"/>
    <x v="1"/>
    <x v="11"/>
    <n v="37.4"/>
    <x v="1354"/>
    <d v="2025-03-04T00:00:00"/>
    <x v="70"/>
    <x v="1"/>
    <x v="1"/>
    <x v="0"/>
    <s v="California"/>
    <x v="11"/>
    <x v="5"/>
    <x v="9"/>
    <x v="1"/>
  </r>
  <r>
    <x v="1702"/>
    <x v="18"/>
    <x v="1"/>
    <n v="79"/>
    <x v="1355"/>
    <d v="2025-03-04T00:00:00"/>
    <x v="63"/>
    <x v="1"/>
    <x v="2"/>
    <x v="0"/>
    <s v="California"/>
    <x v="28"/>
    <x v="3"/>
    <x v="9"/>
    <x v="1"/>
  </r>
  <r>
    <x v="1703"/>
    <x v="0"/>
    <x v="2"/>
    <n v="19.3"/>
    <x v="1356"/>
    <d v="2025-03-04T00:00:00"/>
    <x v="63"/>
    <x v="2"/>
    <x v="4"/>
    <x v="0"/>
    <s v="California"/>
    <x v="21"/>
    <x v="3"/>
    <x v="9"/>
    <x v="2"/>
  </r>
  <r>
    <x v="1704"/>
    <x v="0"/>
    <x v="0"/>
    <n v="24"/>
    <x v="835"/>
    <d v="2025-03-04T00:00:00"/>
    <x v="63"/>
    <x v="2"/>
    <x v="1"/>
    <x v="0"/>
    <s v="California"/>
    <x v="1"/>
    <x v="3"/>
    <x v="9"/>
    <x v="2"/>
  </r>
  <r>
    <x v="1705"/>
    <x v="6"/>
    <x v="9"/>
    <n v="71.3"/>
    <x v="1357"/>
    <d v="2025-03-04T00:00:00"/>
    <x v="68"/>
    <x v="2"/>
    <x v="2"/>
    <x v="0"/>
    <s v="California"/>
    <x v="2"/>
    <x v="2"/>
    <x v="9"/>
    <x v="2"/>
  </r>
  <r>
    <x v="1706"/>
    <x v="5"/>
    <x v="1"/>
    <n v="166.2"/>
    <x v="1358"/>
    <d v="2025-03-04T00:00:00"/>
    <x v="63"/>
    <x v="1"/>
    <x v="0"/>
    <x v="2"/>
    <s v="California"/>
    <x v="50"/>
    <x v="3"/>
    <x v="9"/>
    <x v="1"/>
  </r>
  <r>
    <x v="1707"/>
    <x v="6"/>
    <x v="0"/>
    <n v="81"/>
    <x v="969"/>
    <d v="2025-03-04T00:00:00"/>
    <x v="63"/>
    <x v="2"/>
    <x v="2"/>
    <x v="1"/>
    <s v="California"/>
    <x v="3"/>
    <x v="3"/>
    <x v="9"/>
    <x v="2"/>
  </r>
  <r>
    <x v="1708"/>
    <x v="10"/>
    <x v="13"/>
    <n v="38.5"/>
    <x v="1359"/>
    <d v="2025-03-04T00:00:00"/>
    <x v="70"/>
    <x v="2"/>
    <x v="0"/>
    <x v="0"/>
    <s v="California"/>
    <x v="3"/>
    <x v="5"/>
    <x v="9"/>
    <x v="2"/>
  </r>
  <r>
    <x v="1709"/>
    <x v="6"/>
    <x v="0"/>
    <n v="86.1"/>
    <x v="1360"/>
    <d v="2025-03-04T00:00:00"/>
    <x v="66"/>
    <x v="2"/>
    <x v="3"/>
    <x v="0"/>
    <s v="California"/>
    <x v="3"/>
    <x v="1"/>
    <x v="9"/>
    <x v="2"/>
  </r>
  <r>
    <x v="1710"/>
    <x v="2"/>
    <x v="9"/>
    <n v="51"/>
    <x v="951"/>
    <d v="2025-03-04T00:00:00"/>
    <x v="63"/>
    <x v="1"/>
    <x v="0"/>
    <x v="1"/>
    <s v="California"/>
    <x v="3"/>
    <x v="3"/>
    <x v="9"/>
    <x v="1"/>
  </r>
  <r>
    <x v="1711"/>
    <x v="3"/>
    <x v="9"/>
    <n v="115.4"/>
    <x v="1361"/>
    <d v="2025-03-04T00:00:00"/>
    <x v="63"/>
    <x v="1"/>
    <x v="0"/>
    <x v="0"/>
    <s v="California"/>
    <x v="3"/>
    <x v="3"/>
    <x v="9"/>
    <x v="1"/>
  </r>
  <r>
    <x v="1712"/>
    <x v="6"/>
    <x v="12"/>
    <n v="176.5"/>
    <x v="1362"/>
    <d v="2025-03-04T00:00:00"/>
    <x v="63"/>
    <x v="2"/>
    <x v="2"/>
    <x v="2"/>
    <s v="California"/>
    <x v="3"/>
    <x v="3"/>
    <x v="9"/>
    <x v="2"/>
  </r>
  <r>
    <x v="1713"/>
    <x v="7"/>
    <x v="2"/>
    <n v="48.9"/>
    <x v="1363"/>
    <d v="2025-03-04T00:00:00"/>
    <x v="63"/>
    <x v="1"/>
    <x v="4"/>
    <x v="0"/>
    <s v="California"/>
    <x v="3"/>
    <x v="3"/>
    <x v="9"/>
    <x v="1"/>
  </r>
  <r>
    <x v="1714"/>
    <x v="8"/>
    <x v="2"/>
    <n v="18.100000000000001"/>
    <x v="1364"/>
    <d v="2025-03-04T00:00:00"/>
    <x v="71"/>
    <x v="2"/>
    <x v="1"/>
    <x v="2"/>
    <s v="California"/>
    <x v="29"/>
    <x v="6"/>
    <x v="9"/>
    <x v="2"/>
  </r>
  <r>
    <x v="1715"/>
    <x v="2"/>
    <x v="1"/>
    <n v="118.5"/>
    <x v="1365"/>
    <d v="2025-03-04T00:00:00"/>
    <x v="68"/>
    <x v="1"/>
    <x v="1"/>
    <x v="2"/>
    <s v="California"/>
    <x v="16"/>
    <x v="2"/>
    <x v="9"/>
    <x v="1"/>
  </r>
  <r>
    <x v="1716"/>
    <x v="15"/>
    <x v="3"/>
    <n v="59.1"/>
    <x v="1366"/>
    <d v="2025-03-04T00:00:00"/>
    <x v="63"/>
    <x v="2"/>
    <x v="3"/>
    <x v="0"/>
    <s v="California"/>
    <x v="25"/>
    <x v="3"/>
    <x v="9"/>
    <x v="2"/>
  </r>
  <r>
    <x v="1717"/>
    <x v="4"/>
    <x v="0"/>
    <n v="21.2"/>
    <x v="333"/>
    <d v="2025-03-04T00:00:00"/>
    <x v="63"/>
    <x v="2"/>
    <x v="0"/>
    <x v="1"/>
    <s v="California"/>
    <x v="6"/>
    <x v="3"/>
    <x v="9"/>
    <x v="2"/>
  </r>
  <r>
    <x v="1718"/>
    <x v="6"/>
    <x v="1"/>
    <n v="68.8"/>
    <x v="1367"/>
    <d v="2025-03-04T00:00:00"/>
    <x v="60"/>
    <x v="2"/>
    <x v="3"/>
    <x v="2"/>
    <s v="California"/>
    <x v="6"/>
    <x v="0"/>
    <x v="9"/>
    <x v="2"/>
  </r>
  <r>
    <x v="1719"/>
    <x v="6"/>
    <x v="1"/>
    <n v="65.400000000000006"/>
    <x v="1272"/>
    <d v="2025-03-04T00:00:00"/>
    <x v="70"/>
    <x v="2"/>
    <x v="0"/>
    <x v="0"/>
    <s v="California"/>
    <x v="6"/>
    <x v="5"/>
    <x v="9"/>
    <x v="2"/>
  </r>
  <r>
    <x v="1720"/>
    <x v="12"/>
    <x v="9"/>
    <n v="66.3"/>
    <x v="1278"/>
    <d v="2025-03-05T00:00:00"/>
    <x v="70"/>
    <x v="2"/>
    <x v="4"/>
    <x v="0"/>
    <s v="California"/>
    <x v="6"/>
    <x v="2"/>
    <x v="9"/>
    <x v="2"/>
  </r>
  <r>
    <x v="1721"/>
    <x v="6"/>
    <x v="2"/>
    <n v="97.5"/>
    <x v="1368"/>
    <d v="2025-03-05T00:00:00"/>
    <x v="63"/>
    <x v="1"/>
    <x v="3"/>
    <x v="0"/>
    <s v="California"/>
    <x v="8"/>
    <x v="7"/>
    <x v="9"/>
    <x v="1"/>
  </r>
  <r>
    <x v="1722"/>
    <x v="1"/>
    <x v="1"/>
    <n v="44"/>
    <x v="1155"/>
    <d v="2025-03-05T00:00:00"/>
    <x v="70"/>
    <x v="2"/>
    <x v="1"/>
    <x v="2"/>
    <s v="California"/>
    <x v="8"/>
    <x v="2"/>
    <x v="9"/>
    <x v="2"/>
  </r>
  <r>
    <x v="1723"/>
    <x v="0"/>
    <x v="0"/>
    <n v="21.9"/>
    <x v="731"/>
    <d v="2025-03-05T00:00:00"/>
    <x v="66"/>
    <x v="1"/>
    <x v="0"/>
    <x v="0"/>
    <s v="California"/>
    <x v="8"/>
    <x v="3"/>
    <x v="9"/>
    <x v="1"/>
  </r>
  <r>
    <x v="1724"/>
    <x v="4"/>
    <x v="3"/>
    <n v="21.5"/>
    <x v="379"/>
    <d v="2025-03-05T00:00:00"/>
    <x v="68"/>
    <x v="2"/>
    <x v="1"/>
    <x v="2"/>
    <s v="California"/>
    <x v="9"/>
    <x v="1"/>
    <x v="9"/>
    <x v="2"/>
  </r>
  <r>
    <x v="1725"/>
    <x v="12"/>
    <x v="13"/>
    <n v="133"/>
    <x v="1369"/>
    <d v="2025-03-05T00:00:00"/>
    <x v="66"/>
    <x v="3"/>
    <x v="0"/>
    <x v="2"/>
    <s v="California"/>
    <x v="10"/>
    <x v="3"/>
    <x v="9"/>
    <x v="3"/>
  </r>
  <r>
    <x v="1726"/>
    <x v="8"/>
    <x v="1"/>
    <n v="47.7"/>
    <x v="233"/>
    <d v="2025-03-05T00:00:00"/>
    <x v="60"/>
    <x v="1"/>
    <x v="0"/>
    <x v="2"/>
    <s v="California"/>
    <x v="10"/>
    <x v="5"/>
    <x v="9"/>
    <x v="1"/>
  </r>
  <r>
    <x v="1727"/>
    <x v="16"/>
    <x v="2"/>
    <n v="58.1"/>
    <x v="889"/>
    <d v="2025-03-05T00:00:00"/>
    <x v="66"/>
    <x v="2"/>
    <x v="0"/>
    <x v="0"/>
    <s v="California"/>
    <x v="11"/>
    <x v="3"/>
    <x v="9"/>
    <x v="2"/>
  </r>
  <r>
    <x v="1728"/>
    <x v="12"/>
    <x v="12"/>
    <n v="66.599999999999994"/>
    <x v="1370"/>
    <d v="2025-03-05T00:00:00"/>
    <x v="66"/>
    <x v="0"/>
    <x v="0"/>
    <x v="0"/>
    <s v="California"/>
    <x v="11"/>
    <x v="3"/>
    <x v="9"/>
    <x v="0"/>
  </r>
  <r>
    <x v="1729"/>
    <x v="9"/>
    <x v="0"/>
    <n v="24.1"/>
    <x v="1057"/>
    <d v="2025-03-05T00:00:00"/>
    <x v="70"/>
    <x v="1"/>
    <x v="2"/>
    <x v="1"/>
    <s v="California"/>
    <x v="19"/>
    <x v="2"/>
    <x v="9"/>
    <x v="1"/>
  </r>
  <r>
    <x v="1730"/>
    <x v="10"/>
    <x v="9"/>
    <n v="51.5"/>
    <x v="1371"/>
    <d v="2025-03-05T00:00:00"/>
    <x v="65"/>
    <x v="2"/>
    <x v="0"/>
    <x v="0"/>
    <s v="California"/>
    <x v="13"/>
    <x v="0"/>
    <x v="9"/>
    <x v="2"/>
  </r>
  <r>
    <x v="1731"/>
    <x v="0"/>
    <x v="5"/>
    <n v="25.8"/>
    <x v="674"/>
    <d v="2025-03-05T00:00:00"/>
    <x v="60"/>
    <x v="2"/>
    <x v="3"/>
    <x v="4"/>
    <s v="California"/>
    <x v="21"/>
    <x v="5"/>
    <x v="9"/>
    <x v="2"/>
  </r>
  <r>
    <x v="1732"/>
    <x v="9"/>
    <x v="12"/>
    <n v="47.7"/>
    <x v="1372"/>
    <d v="2025-03-05T00:00:00"/>
    <x v="63"/>
    <x v="2"/>
    <x v="0"/>
    <x v="1"/>
    <s v="California"/>
    <x v="21"/>
    <x v="7"/>
    <x v="9"/>
    <x v="2"/>
  </r>
  <r>
    <x v="1733"/>
    <x v="7"/>
    <x v="9"/>
    <n v="73.599999999999994"/>
    <x v="1373"/>
    <d v="2025-03-05T00:00:00"/>
    <x v="60"/>
    <x v="1"/>
    <x v="1"/>
    <x v="0"/>
    <s v="California"/>
    <x v="21"/>
    <x v="5"/>
    <x v="9"/>
    <x v="1"/>
  </r>
  <r>
    <x v="1734"/>
    <x v="5"/>
    <x v="3"/>
    <n v="91.2"/>
    <x v="1374"/>
    <d v="2025-03-05T00:00:00"/>
    <x v="66"/>
    <x v="1"/>
    <x v="1"/>
    <x v="2"/>
    <s v="California"/>
    <x v="21"/>
    <x v="3"/>
    <x v="9"/>
    <x v="1"/>
  </r>
  <r>
    <x v="1735"/>
    <x v="1"/>
    <x v="8"/>
    <n v="36.200000000000003"/>
    <x v="1375"/>
    <d v="2025-03-05T00:00:00"/>
    <x v="63"/>
    <x v="1"/>
    <x v="2"/>
    <x v="2"/>
    <s v="California"/>
    <x v="1"/>
    <x v="7"/>
    <x v="9"/>
    <x v="1"/>
  </r>
  <r>
    <x v="1736"/>
    <x v="9"/>
    <x v="8"/>
    <n v="98"/>
    <x v="1376"/>
    <d v="2025-03-05T00:00:00"/>
    <x v="60"/>
    <x v="2"/>
    <x v="2"/>
    <x v="0"/>
    <s v="California"/>
    <x v="2"/>
    <x v="5"/>
    <x v="9"/>
    <x v="2"/>
  </r>
  <r>
    <x v="1737"/>
    <x v="1"/>
    <x v="8"/>
    <n v="43.6"/>
    <x v="1377"/>
    <d v="2025-03-05T00:00:00"/>
    <x v="66"/>
    <x v="2"/>
    <x v="2"/>
    <x v="0"/>
    <s v="California"/>
    <x v="22"/>
    <x v="3"/>
    <x v="9"/>
    <x v="2"/>
  </r>
  <r>
    <x v="1738"/>
    <x v="8"/>
    <x v="7"/>
    <n v="37.799999999999997"/>
    <x v="1378"/>
    <d v="2025-03-05T00:00:00"/>
    <x v="63"/>
    <x v="3"/>
    <x v="0"/>
    <x v="0"/>
    <s v="California"/>
    <x v="50"/>
    <x v="7"/>
    <x v="9"/>
    <x v="3"/>
  </r>
  <r>
    <x v="1739"/>
    <x v="17"/>
    <x v="9"/>
    <n v="63.7"/>
    <x v="46"/>
    <d v="2025-03-05T00:00:00"/>
    <x v="70"/>
    <x v="2"/>
    <x v="2"/>
    <x v="1"/>
    <s v="California"/>
    <x v="3"/>
    <x v="2"/>
    <x v="9"/>
    <x v="2"/>
  </r>
  <r>
    <x v="1740"/>
    <x v="5"/>
    <x v="11"/>
    <n v="62.9"/>
    <x v="1379"/>
    <d v="2025-03-05T00:00:00"/>
    <x v="65"/>
    <x v="1"/>
    <x v="3"/>
    <x v="2"/>
    <s v="California"/>
    <x v="3"/>
    <x v="0"/>
    <x v="9"/>
    <x v="1"/>
  </r>
  <r>
    <x v="1741"/>
    <x v="6"/>
    <x v="3"/>
    <n v="61.7"/>
    <x v="245"/>
    <d v="2025-03-05T00:00:00"/>
    <x v="70"/>
    <x v="2"/>
    <x v="2"/>
    <x v="2"/>
    <s v="California"/>
    <x v="3"/>
    <x v="2"/>
    <x v="9"/>
    <x v="2"/>
  </r>
  <r>
    <x v="1742"/>
    <x v="18"/>
    <x v="21"/>
    <n v="36.5"/>
    <x v="1380"/>
    <d v="2025-03-05T00:00:00"/>
    <x v="66"/>
    <x v="1"/>
    <x v="0"/>
    <x v="2"/>
    <s v="California"/>
    <x v="3"/>
    <x v="3"/>
    <x v="9"/>
    <x v="1"/>
  </r>
  <r>
    <x v="1743"/>
    <x v="11"/>
    <x v="2"/>
    <n v="98.6"/>
    <x v="1381"/>
    <d v="2025-03-05T00:00:00"/>
    <x v="70"/>
    <x v="3"/>
    <x v="0"/>
    <x v="4"/>
    <s v="California"/>
    <x v="3"/>
    <x v="2"/>
    <x v="9"/>
    <x v="3"/>
  </r>
  <r>
    <x v="1744"/>
    <x v="8"/>
    <x v="1"/>
    <n v="19.2"/>
    <x v="1139"/>
    <d v="2025-03-05T00:00:00"/>
    <x v="72"/>
    <x v="1"/>
    <x v="0"/>
    <x v="0"/>
    <s v="California"/>
    <x v="3"/>
    <x v="14"/>
    <x v="9"/>
    <x v="1"/>
  </r>
  <r>
    <x v="1745"/>
    <x v="3"/>
    <x v="13"/>
    <n v="55.6"/>
    <x v="335"/>
    <d v="2025-03-05T00:00:00"/>
    <x v="60"/>
    <x v="2"/>
    <x v="0"/>
    <x v="2"/>
    <s v="California"/>
    <x v="3"/>
    <x v="5"/>
    <x v="9"/>
    <x v="2"/>
  </r>
  <r>
    <x v="1746"/>
    <x v="5"/>
    <x v="13"/>
    <n v="56.4"/>
    <x v="1382"/>
    <d v="2025-03-05T00:00:00"/>
    <x v="66"/>
    <x v="2"/>
    <x v="1"/>
    <x v="0"/>
    <s v="California"/>
    <x v="3"/>
    <x v="3"/>
    <x v="9"/>
    <x v="2"/>
  </r>
  <r>
    <x v="1747"/>
    <x v="4"/>
    <x v="8"/>
    <n v="43.1"/>
    <x v="1383"/>
    <d v="2025-03-05T00:00:00"/>
    <x v="60"/>
    <x v="2"/>
    <x v="4"/>
    <x v="0"/>
    <s v="California"/>
    <x v="3"/>
    <x v="5"/>
    <x v="9"/>
    <x v="2"/>
  </r>
  <r>
    <x v="1748"/>
    <x v="1"/>
    <x v="1"/>
    <n v="77.3"/>
    <x v="1384"/>
    <d v="2025-03-05T00:00:00"/>
    <x v="68"/>
    <x v="1"/>
    <x v="0"/>
    <x v="0"/>
    <s v="California"/>
    <x v="6"/>
    <x v="1"/>
    <x v="9"/>
    <x v="1"/>
  </r>
  <r>
    <x v="1749"/>
    <x v="9"/>
    <x v="8"/>
    <n v="38.299999999999997"/>
    <x v="1347"/>
    <d v="2025-03-05T00:00:00"/>
    <x v="66"/>
    <x v="1"/>
    <x v="0"/>
    <x v="0"/>
    <s v="California"/>
    <x v="7"/>
    <x v="3"/>
    <x v="9"/>
    <x v="1"/>
  </r>
  <r>
    <x v="1750"/>
    <x v="0"/>
    <x v="3"/>
    <n v="16.8"/>
    <x v="557"/>
    <d v="2025-03-05T00:00:00"/>
    <x v="70"/>
    <x v="1"/>
    <x v="2"/>
    <x v="1"/>
    <s v="California"/>
    <x v="8"/>
    <x v="2"/>
    <x v="9"/>
    <x v="1"/>
  </r>
  <r>
    <x v="1751"/>
    <x v="2"/>
    <x v="2"/>
    <n v="63.2"/>
    <x v="1385"/>
    <d v="2025-03-05T00:00:00"/>
    <x v="66"/>
    <x v="2"/>
    <x v="0"/>
    <x v="2"/>
    <s v="California"/>
    <x v="8"/>
    <x v="3"/>
    <x v="9"/>
    <x v="2"/>
  </r>
  <r>
    <x v="1752"/>
    <x v="14"/>
    <x v="44"/>
    <n v="39.700000000000003"/>
    <x v="1386"/>
    <d v="2025-03-05T00:00:00"/>
    <x v="66"/>
    <x v="1"/>
    <x v="0"/>
    <x v="0"/>
    <s v="California"/>
    <x v="8"/>
    <x v="3"/>
    <x v="9"/>
    <x v="1"/>
  </r>
  <r>
    <x v="1753"/>
    <x v="10"/>
    <x v="2"/>
    <n v="45.8"/>
    <x v="1387"/>
    <d v="2025-03-05T00:00:00"/>
    <x v="66"/>
    <x v="2"/>
    <x v="1"/>
    <x v="2"/>
    <s v="California"/>
    <x v="8"/>
    <x v="3"/>
    <x v="9"/>
    <x v="2"/>
  </r>
  <r>
    <x v="1754"/>
    <x v="0"/>
    <x v="13"/>
    <n v="12.4"/>
    <x v="610"/>
    <d v="2025-03-05T00:00:00"/>
    <x v="70"/>
    <x v="1"/>
    <x v="0"/>
    <x v="0"/>
    <s v="California"/>
    <x v="8"/>
    <x v="2"/>
    <x v="9"/>
    <x v="1"/>
  </r>
  <r>
    <x v="1755"/>
    <x v="14"/>
    <x v="2"/>
    <n v="50.8"/>
    <x v="1388"/>
    <d v="2025-03-06T00:00:00"/>
    <x v="66"/>
    <x v="2"/>
    <x v="4"/>
    <x v="0"/>
    <s v="California"/>
    <x v="17"/>
    <x v="7"/>
    <x v="9"/>
    <x v="2"/>
  </r>
  <r>
    <x v="1756"/>
    <x v="9"/>
    <x v="0"/>
    <n v="76"/>
    <x v="998"/>
    <d v="2025-03-06T00:00:00"/>
    <x v="65"/>
    <x v="3"/>
    <x v="2"/>
    <x v="2"/>
    <s v="California"/>
    <x v="17"/>
    <x v="5"/>
    <x v="9"/>
    <x v="3"/>
  </r>
  <r>
    <x v="1757"/>
    <x v="1"/>
    <x v="1"/>
    <n v="51.9"/>
    <x v="1389"/>
    <d v="2025-03-06T00:00:00"/>
    <x v="68"/>
    <x v="1"/>
    <x v="1"/>
    <x v="2"/>
    <s v="California"/>
    <x v="26"/>
    <x v="3"/>
    <x v="9"/>
    <x v="1"/>
  </r>
  <r>
    <x v="1758"/>
    <x v="2"/>
    <x v="1"/>
    <n v="93.4"/>
    <x v="1390"/>
    <d v="2025-03-06T00:00:00"/>
    <x v="64"/>
    <x v="1"/>
    <x v="0"/>
    <x v="3"/>
    <s v="California"/>
    <x v="11"/>
    <x v="6"/>
    <x v="9"/>
    <x v="1"/>
  </r>
  <r>
    <x v="1759"/>
    <x v="7"/>
    <x v="13"/>
    <n v="30.8"/>
    <x v="827"/>
    <d v="2025-03-06T00:00:00"/>
    <x v="60"/>
    <x v="2"/>
    <x v="1"/>
    <x v="0"/>
    <s v="California"/>
    <x v="11"/>
    <x v="2"/>
    <x v="9"/>
    <x v="2"/>
  </r>
  <r>
    <x v="1760"/>
    <x v="2"/>
    <x v="0"/>
    <n v="143.19999999999999"/>
    <x v="1391"/>
    <d v="2025-03-06T00:00:00"/>
    <x v="60"/>
    <x v="1"/>
    <x v="2"/>
    <x v="0"/>
    <s v="California"/>
    <x v="11"/>
    <x v="2"/>
    <x v="9"/>
    <x v="1"/>
  </r>
  <r>
    <x v="1761"/>
    <x v="6"/>
    <x v="5"/>
    <n v="40.4"/>
    <x v="1392"/>
    <d v="2025-03-06T00:00:00"/>
    <x v="70"/>
    <x v="1"/>
    <x v="2"/>
    <x v="2"/>
    <s v="California"/>
    <x v="18"/>
    <x v="1"/>
    <x v="9"/>
    <x v="1"/>
  </r>
  <r>
    <x v="1762"/>
    <x v="2"/>
    <x v="10"/>
    <n v="131.5"/>
    <x v="1393"/>
    <d v="2025-03-06T00:00:00"/>
    <x v="70"/>
    <x v="1"/>
    <x v="1"/>
    <x v="1"/>
    <s v="California"/>
    <x v="18"/>
    <x v="1"/>
    <x v="9"/>
    <x v="1"/>
  </r>
  <r>
    <x v="1763"/>
    <x v="18"/>
    <x v="3"/>
    <n v="61.6"/>
    <x v="348"/>
    <d v="2025-03-06T00:00:00"/>
    <x v="68"/>
    <x v="1"/>
    <x v="2"/>
    <x v="0"/>
    <s v="California"/>
    <x v="21"/>
    <x v="3"/>
    <x v="9"/>
    <x v="1"/>
  </r>
  <r>
    <x v="1764"/>
    <x v="9"/>
    <x v="9"/>
    <n v="32.700000000000003"/>
    <x v="838"/>
    <d v="2025-03-06T00:00:00"/>
    <x v="70"/>
    <x v="1"/>
    <x v="2"/>
    <x v="0"/>
    <s v="California"/>
    <x v="1"/>
    <x v="1"/>
    <x v="9"/>
    <x v="1"/>
  </r>
  <r>
    <x v="1765"/>
    <x v="0"/>
    <x v="7"/>
    <n v="13.7"/>
    <x v="383"/>
    <d v="2025-03-06T00:00:00"/>
    <x v="68"/>
    <x v="1"/>
    <x v="0"/>
    <x v="2"/>
    <s v="California"/>
    <x v="3"/>
    <x v="3"/>
    <x v="9"/>
    <x v="1"/>
  </r>
  <r>
    <x v="1766"/>
    <x v="0"/>
    <x v="12"/>
    <n v="32.1"/>
    <x v="58"/>
    <d v="2025-03-06T00:00:00"/>
    <x v="68"/>
    <x v="1"/>
    <x v="4"/>
    <x v="1"/>
    <s v="California"/>
    <x v="3"/>
    <x v="3"/>
    <x v="9"/>
    <x v="1"/>
  </r>
  <r>
    <x v="1767"/>
    <x v="14"/>
    <x v="8"/>
    <n v="12"/>
    <x v="854"/>
    <d v="2025-03-06T00:00:00"/>
    <x v="68"/>
    <x v="1"/>
    <x v="1"/>
    <x v="0"/>
    <s v="California"/>
    <x v="24"/>
    <x v="3"/>
    <x v="9"/>
    <x v="1"/>
  </r>
  <r>
    <x v="1768"/>
    <x v="12"/>
    <x v="0"/>
    <n v="64.3"/>
    <x v="1394"/>
    <d v="2025-03-06T00:00:00"/>
    <x v="70"/>
    <x v="2"/>
    <x v="2"/>
    <x v="2"/>
    <s v="California"/>
    <x v="6"/>
    <x v="1"/>
    <x v="9"/>
    <x v="2"/>
  </r>
  <r>
    <x v="1769"/>
    <x v="1"/>
    <x v="2"/>
    <n v="58.2"/>
    <x v="1395"/>
    <d v="2025-03-06T00:00:00"/>
    <x v="70"/>
    <x v="2"/>
    <x v="1"/>
    <x v="2"/>
    <s v="California"/>
    <x v="6"/>
    <x v="1"/>
    <x v="9"/>
    <x v="2"/>
  </r>
  <r>
    <x v="1770"/>
    <x v="6"/>
    <x v="12"/>
    <n v="59.2"/>
    <x v="1396"/>
    <d v="2025-03-06T00:00:00"/>
    <x v="66"/>
    <x v="1"/>
    <x v="1"/>
    <x v="2"/>
    <s v="California"/>
    <x v="6"/>
    <x v="7"/>
    <x v="9"/>
    <x v="1"/>
  </r>
  <r>
    <x v="1771"/>
    <x v="10"/>
    <x v="5"/>
    <n v="35.6"/>
    <x v="590"/>
    <d v="2025-03-06T00:00:00"/>
    <x v="64"/>
    <x v="1"/>
    <x v="0"/>
    <x v="2"/>
    <s v="California"/>
    <x v="8"/>
    <x v="6"/>
    <x v="9"/>
    <x v="1"/>
  </r>
  <r>
    <x v="1772"/>
    <x v="16"/>
    <x v="8"/>
    <n v="37"/>
    <x v="1397"/>
    <d v="2025-03-06T00:00:00"/>
    <x v="65"/>
    <x v="2"/>
    <x v="2"/>
    <x v="1"/>
    <s v="California"/>
    <x v="8"/>
    <x v="5"/>
    <x v="9"/>
    <x v="2"/>
  </r>
  <r>
    <x v="1773"/>
    <x v="1"/>
    <x v="15"/>
    <n v="80.8"/>
    <x v="1398"/>
    <d v="2025-03-06T00:00:00"/>
    <x v="70"/>
    <x v="2"/>
    <x v="0"/>
    <x v="0"/>
    <s v="California"/>
    <x v="8"/>
    <x v="1"/>
    <x v="9"/>
    <x v="2"/>
  </r>
  <r>
    <x v="1774"/>
    <x v="8"/>
    <x v="1"/>
    <n v="63.2"/>
    <x v="628"/>
    <d v="2025-03-06T00:00:00"/>
    <x v="68"/>
    <x v="1"/>
    <x v="0"/>
    <x v="1"/>
    <s v="California"/>
    <x v="8"/>
    <x v="3"/>
    <x v="9"/>
    <x v="1"/>
  </r>
  <r>
    <x v="1775"/>
    <x v="3"/>
    <x v="1"/>
    <n v="40.799999999999997"/>
    <x v="330"/>
    <d v="2025-03-06T00:00:00"/>
    <x v="70"/>
    <x v="1"/>
    <x v="0"/>
    <x v="1"/>
    <s v="California"/>
    <x v="17"/>
    <x v="1"/>
    <x v="9"/>
    <x v="1"/>
  </r>
  <r>
    <x v="1776"/>
    <x v="13"/>
    <x v="13"/>
    <n v="25.7"/>
    <x v="1399"/>
    <d v="2025-03-06T00:00:00"/>
    <x v="70"/>
    <x v="1"/>
    <x v="4"/>
    <x v="0"/>
    <s v="California"/>
    <x v="18"/>
    <x v="1"/>
    <x v="9"/>
    <x v="1"/>
  </r>
  <r>
    <x v="1777"/>
    <x v="16"/>
    <x v="1"/>
    <n v="49.9"/>
    <x v="350"/>
    <d v="2025-03-06T00:00:00"/>
    <x v="60"/>
    <x v="1"/>
    <x v="0"/>
    <x v="0"/>
    <s v="California"/>
    <x v="20"/>
    <x v="2"/>
    <x v="9"/>
    <x v="1"/>
  </r>
  <r>
    <x v="1778"/>
    <x v="8"/>
    <x v="1"/>
    <n v="20.2"/>
    <x v="1400"/>
    <d v="2025-03-06T00:00:00"/>
    <x v="70"/>
    <x v="2"/>
    <x v="3"/>
    <x v="0"/>
    <s v="California"/>
    <x v="21"/>
    <x v="1"/>
    <x v="9"/>
    <x v="2"/>
  </r>
  <r>
    <x v="1779"/>
    <x v="6"/>
    <x v="2"/>
    <n v="48.4"/>
    <x v="1401"/>
    <d v="2025-03-06T00:00:00"/>
    <x v="71"/>
    <x v="2"/>
    <x v="0"/>
    <x v="2"/>
    <s v="California"/>
    <x v="21"/>
    <x v="0"/>
    <x v="9"/>
    <x v="2"/>
  </r>
  <r>
    <x v="1780"/>
    <x v="6"/>
    <x v="1"/>
    <n v="81"/>
    <x v="915"/>
    <d v="2025-03-06T00:00:00"/>
    <x v="68"/>
    <x v="2"/>
    <x v="1"/>
    <x v="2"/>
    <s v="California"/>
    <x v="21"/>
    <x v="3"/>
    <x v="9"/>
    <x v="2"/>
  </r>
  <r>
    <x v="1781"/>
    <x v="8"/>
    <x v="13"/>
    <n v="19.899999999999999"/>
    <x v="1402"/>
    <d v="2025-03-06T00:00:00"/>
    <x v="60"/>
    <x v="2"/>
    <x v="0"/>
    <x v="1"/>
    <s v="California"/>
    <x v="22"/>
    <x v="2"/>
    <x v="9"/>
    <x v="2"/>
  </r>
  <r>
    <x v="1782"/>
    <x v="4"/>
    <x v="12"/>
    <n v="32.200000000000003"/>
    <x v="1403"/>
    <d v="2025-03-06T00:00:00"/>
    <x v="69"/>
    <x v="1"/>
    <x v="0"/>
    <x v="0"/>
    <s v="California"/>
    <x v="22"/>
    <x v="14"/>
    <x v="9"/>
    <x v="1"/>
  </r>
  <r>
    <x v="1783"/>
    <x v="5"/>
    <x v="2"/>
    <n v="76.8"/>
    <x v="1404"/>
    <d v="2025-03-06T00:00:00"/>
    <x v="68"/>
    <x v="2"/>
    <x v="0"/>
    <x v="1"/>
    <s v="California"/>
    <x v="3"/>
    <x v="3"/>
    <x v="9"/>
    <x v="2"/>
  </r>
  <r>
    <x v="1784"/>
    <x v="6"/>
    <x v="1"/>
    <n v="41.9"/>
    <x v="1405"/>
    <d v="2025-03-06T00:00:00"/>
    <x v="70"/>
    <x v="2"/>
    <x v="0"/>
    <x v="0"/>
    <s v="California"/>
    <x v="3"/>
    <x v="1"/>
    <x v="9"/>
    <x v="2"/>
  </r>
  <r>
    <x v="1785"/>
    <x v="0"/>
    <x v="3"/>
    <n v="34"/>
    <x v="1248"/>
    <d v="2025-03-06T00:00:00"/>
    <x v="70"/>
    <x v="2"/>
    <x v="1"/>
    <x v="2"/>
    <s v="California"/>
    <x v="3"/>
    <x v="1"/>
    <x v="9"/>
    <x v="2"/>
  </r>
  <r>
    <x v="1786"/>
    <x v="7"/>
    <x v="3"/>
    <n v="61.3"/>
    <x v="1406"/>
    <d v="2025-03-06T00:00:00"/>
    <x v="66"/>
    <x v="2"/>
    <x v="4"/>
    <x v="2"/>
    <s v="California"/>
    <x v="3"/>
    <x v="7"/>
    <x v="9"/>
    <x v="2"/>
  </r>
  <r>
    <x v="1787"/>
    <x v="9"/>
    <x v="0"/>
    <n v="54.7"/>
    <x v="1407"/>
    <d v="2025-03-07T00:00:00"/>
    <x v="70"/>
    <x v="1"/>
    <x v="0"/>
    <x v="1"/>
    <s v="California"/>
    <x v="3"/>
    <x v="3"/>
    <x v="9"/>
    <x v="1"/>
  </r>
  <r>
    <x v="1788"/>
    <x v="6"/>
    <x v="7"/>
    <n v="84.7"/>
    <x v="1408"/>
    <d v="2025-03-07T00:00:00"/>
    <x v="71"/>
    <x v="2"/>
    <x v="0"/>
    <x v="0"/>
    <s v="California"/>
    <x v="3"/>
    <x v="5"/>
    <x v="9"/>
    <x v="2"/>
  </r>
  <r>
    <x v="1789"/>
    <x v="1"/>
    <x v="2"/>
    <n v="93.4"/>
    <x v="1409"/>
    <d v="2025-03-07T00:00:00"/>
    <x v="71"/>
    <x v="2"/>
    <x v="3"/>
    <x v="0"/>
    <s v="California"/>
    <x v="3"/>
    <x v="5"/>
    <x v="9"/>
    <x v="2"/>
  </r>
  <r>
    <x v="1790"/>
    <x v="8"/>
    <x v="9"/>
    <n v="27"/>
    <x v="340"/>
    <d v="2025-03-07T00:00:00"/>
    <x v="65"/>
    <x v="1"/>
    <x v="0"/>
    <x v="1"/>
    <s v="California"/>
    <x v="3"/>
    <x v="2"/>
    <x v="9"/>
    <x v="1"/>
  </r>
  <r>
    <x v="1791"/>
    <x v="0"/>
    <x v="12"/>
    <n v="10.9"/>
    <x v="1195"/>
    <d v="2025-03-07T00:00:00"/>
    <x v="70"/>
    <x v="1"/>
    <x v="2"/>
    <x v="0"/>
    <s v="California"/>
    <x v="3"/>
    <x v="3"/>
    <x v="9"/>
    <x v="1"/>
  </r>
  <r>
    <x v="1792"/>
    <x v="16"/>
    <x v="2"/>
    <n v="48"/>
    <x v="1410"/>
    <d v="2025-03-07T00:00:00"/>
    <x v="74"/>
    <x v="2"/>
    <x v="4"/>
    <x v="0"/>
    <s v="California"/>
    <x v="3"/>
    <x v="0"/>
    <x v="9"/>
    <x v="2"/>
  </r>
  <r>
    <x v="1793"/>
    <x v="5"/>
    <x v="1"/>
    <n v="67.900000000000006"/>
    <x v="1411"/>
    <d v="2025-03-07T00:00:00"/>
    <x v="70"/>
    <x v="1"/>
    <x v="0"/>
    <x v="2"/>
    <s v="California"/>
    <x v="23"/>
    <x v="3"/>
    <x v="9"/>
    <x v="1"/>
  </r>
  <r>
    <x v="1794"/>
    <x v="4"/>
    <x v="2"/>
    <n v="36"/>
    <x v="807"/>
    <d v="2025-03-07T00:00:00"/>
    <x v="70"/>
    <x v="1"/>
    <x v="1"/>
    <x v="0"/>
    <s v="California"/>
    <x v="6"/>
    <x v="3"/>
    <x v="9"/>
    <x v="1"/>
  </r>
  <r>
    <x v="1795"/>
    <x v="2"/>
    <x v="0"/>
    <n v="128.80000000000001"/>
    <x v="1403"/>
    <d v="2025-03-07T00:00:00"/>
    <x v="70"/>
    <x v="1"/>
    <x v="4"/>
    <x v="2"/>
    <s v="California"/>
    <x v="6"/>
    <x v="3"/>
    <x v="9"/>
    <x v="1"/>
  </r>
  <r>
    <x v="1796"/>
    <x v="18"/>
    <x v="3"/>
    <n v="33.299999999999997"/>
    <x v="1412"/>
    <d v="2025-03-07T00:00:00"/>
    <x v="70"/>
    <x v="2"/>
    <x v="3"/>
    <x v="0"/>
    <s v="California"/>
    <x v="8"/>
    <x v="3"/>
    <x v="9"/>
    <x v="2"/>
  </r>
  <r>
    <x v="1797"/>
    <x v="10"/>
    <x v="2"/>
    <n v="37.799999999999997"/>
    <x v="1413"/>
    <d v="2025-03-07T00:00:00"/>
    <x v="60"/>
    <x v="1"/>
    <x v="1"/>
    <x v="2"/>
    <s v="California"/>
    <x v="8"/>
    <x v="1"/>
    <x v="9"/>
    <x v="1"/>
  </r>
  <r>
    <x v="1798"/>
    <x v="5"/>
    <x v="2"/>
    <n v="26"/>
    <x v="292"/>
    <d v="2025-03-07T00:00:00"/>
    <x v="74"/>
    <x v="2"/>
    <x v="0"/>
    <x v="0"/>
    <s v="California"/>
    <x v="8"/>
    <x v="0"/>
    <x v="9"/>
    <x v="2"/>
  </r>
  <r>
    <x v="1799"/>
    <x v="8"/>
    <x v="10"/>
    <n v="28.3"/>
    <x v="1414"/>
    <d v="2025-03-07T00:00:00"/>
    <x v="70"/>
    <x v="2"/>
    <x v="3"/>
    <x v="4"/>
    <s v="California"/>
    <x v="8"/>
    <x v="3"/>
    <x v="9"/>
    <x v="2"/>
  </r>
  <r>
    <x v="1800"/>
    <x v="8"/>
    <x v="12"/>
    <n v="31.3"/>
    <x v="1415"/>
    <d v="2025-03-07T00:00:00"/>
    <x v="68"/>
    <x v="2"/>
    <x v="0"/>
    <x v="0"/>
    <s v="California"/>
    <x v="8"/>
    <x v="7"/>
    <x v="9"/>
    <x v="2"/>
  </r>
  <r>
    <x v="1801"/>
    <x v="7"/>
    <x v="2"/>
    <n v="69.5"/>
    <x v="1416"/>
    <d v="2025-03-07T00:00:00"/>
    <x v="70"/>
    <x v="2"/>
    <x v="3"/>
    <x v="2"/>
    <s v="California"/>
    <x v="8"/>
    <x v="3"/>
    <x v="9"/>
    <x v="2"/>
  </r>
  <r>
    <x v="1802"/>
    <x v="0"/>
    <x v="1"/>
    <n v="16.7"/>
    <x v="1417"/>
    <d v="2025-03-07T00:00:00"/>
    <x v="70"/>
    <x v="2"/>
    <x v="3"/>
    <x v="1"/>
    <s v="California"/>
    <x v="8"/>
    <x v="3"/>
    <x v="9"/>
    <x v="2"/>
  </r>
  <r>
    <x v="1803"/>
    <x v="9"/>
    <x v="1"/>
    <n v="62.6"/>
    <x v="1415"/>
    <d v="2025-03-07T00:00:00"/>
    <x v="70"/>
    <x v="1"/>
    <x v="2"/>
    <x v="2"/>
    <s v="California"/>
    <x v="9"/>
    <x v="3"/>
    <x v="9"/>
    <x v="1"/>
  </r>
  <r>
    <x v="1804"/>
    <x v="7"/>
    <x v="0"/>
    <n v="81.2"/>
    <x v="1101"/>
    <d v="2025-03-07T00:00:00"/>
    <x v="64"/>
    <x v="1"/>
    <x v="4"/>
    <x v="4"/>
    <s v="California"/>
    <x v="9"/>
    <x v="4"/>
    <x v="9"/>
    <x v="1"/>
  </r>
  <r>
    <x v="1805"/>
    <x v="0"/>
    <x v="7"/>
    <n v="12.7"/>
    <x v="520"/>
    <d v="2025-03-07T00:00:00"/>
    <x v="70"/>
    <x v="2"/>
    <x v="0"/>
    <x v="2"/>
    <s v="California"/>
    <x v="9"/>
    <x v="3"/>
    <x v="9"/>
    <x v="2"/>
  </r>
  <r>
    <x v="1806"/>
    <x v="7"/>
    <x v="12"/>
    <n v="77.7"/>
    <x v="1418"/>
    <d v="2025-03-08T00:00:00"/>
    <x v="74"/>
    <x v="1"/>
    <x v="1"/>
    <x v="0"/>
    <s v="California"/>
    <x v="11"/>
    <x v="5"/>
    <x v="9"/>
    <x v="1"/>
  </r>
  <r>
    <x v="1807"/>
    <x v="5"/>
    <x v="1"/>
    <n v="37.299999999999997"/>
    <x v="110"/>
    <d v="2025-03-08T00:00:00"/>
    <x v="60"/>
    <x v="2"/>
    <x v="0"/>
    <x v="2"/>
    <s v="California"/>
    <x v="18"/>
    <x v="3"/>
    <x v="9"/>
    <x v="2"/>
  </r>
  <r>
    <x v="1808"/>
    <x v="10"/>
    <x v="12"/>
    <n v="35.6"/>
    <x v="1419"/>
    <d v="2025-03-08T00:00:00"/>
    <x v="65"/>
    <x v="2"/>
    <x v="1"/>
    <x v="1"/>
    <s v="California"/>
    <x v="19"/>
    <x v="1"/>
    <x v="9"/>
    <x v="2"/>
  </r>
  <r>
    <x v="1809"/>
    <x v="2"/>
    <x v="2"/>
    <n v="95"/>
    <x v="1420"/>
    <d v="2025-03-08T00:00:00"/>
    <x v="74"/>
    <x v="2"/>
    <x v="2"/>
    <x v="2"/>
    <s v="California"/>
    <x v="56"/>
    <x v="5"/>
    <x v="9"/>
    <x v="2"/>
  </r>
  <r>
    <x v="1810"/>
    <x v="2"/>
    <x v="12"/>
    <n v="172.1"/>
    <x v="1421"/>
    <d v="2025-03-08T00:00:00"/>
    <x v="74"/>
    <x v="3"/>
    <x v="2"/>
    <x v="2"/>
    <s v="California"/>
    <x v="21"/>
    <x v="5"/>
    <x v="9"/>
    <x v="3"/>
  </r>
  <r>
    <x v="1811"/>
    <x v="2"/>
    <x v="1"/>
    <n v="233"/>
    <x v="1147"/>
    <d v="2025-03-08T00:00:00"/>
    <x v="71"/>
    <x v="2"/>
    <x v="1"/>
    <x v="0"/>
    <s v="California"/>
    <x v="21"/>
    <x v="2"/>
    <x v="9"/>
    <x v="2"/>
  </r>
  <r>
    <x v="1812"/>
    <x v="0"/>
    <x v="0"/>
    <n v="43.5"/>
    <x v="1422"/>
    <d v="2025-03-08T00:00:00"/>
    <x v="60"/>
    <x v="2"/>
    <x v="2"/>
    <x v="2"/>
    <s v="California"/>
    <x v="21"/>
    <x v="3"/>
    <x v="9"/>
    <x v="2"/>
  </r>
  <r>
    <x v="1813"/>
    <x v="9"/>
    <x v="1"/>
    <n v="47.8"/>
    <x v="139"/>
    <d v="2025-03-08T00:00:00"/>
    <x v="71"/>
    <x v="1"/>
    <x v="4"/>
    <x v="2"/>
    <s v="California"/>
    <x v="1"/>
    <x v="2"/>
    <x v="9"/>
    <x v="1"/>
  </r>
  <r>
    <x v="1814"/>
    <x v="12"/>
    <x v="1"/>
    <n v="65.8"/>
    <x v="1423"/>
    <d v="2025-03-08T00:00:00"/>
    <x v="65"/>
    <x v="2"/>
    <x v="0"/>
    <x v="3"/>
    <s v="California"/>
    <x v="33"/>
    <x v="1"/>
    <x v="9"/>
    <x v="2"/>
  </r>
  <r>
    <x v="1815"/>
    <x v="15"/>
    <x v="5"/>
    <n v="38.700000000000003"/>
    <x v="1424"/>
    <d v="2025-03-08T00:00:00"/>
    <x v="70"/>
    <x v="1"/>
    <x v="0"/>
    <x v="0"/>
    <s v="California"/>
    <x v="22"/>
    <x v="7"/>
    <x v="9"/>
    <x v="1"/>
  </r>
  <r>
    <x v="1816"/>
    <x v="3"/>
    <x v="12"/>
    <n v="55.7"/>
    <x v="839"/>
    <d v="2025-03-08T00:00:00"/>
    <x v="65"/>
    <x v="3"/>
    <x v="0"/>
    <x v="1"/>
    <s v="California"/>
    <x v="22"/>
    <x v="1"/>
    <x v="9"/>
    <x v="3"/>
  </r>
  <r>
    <x v="1817"/>
    <x v="7"/>
    <x v="1"/>
    <n v="102.4"/>
    <x v="403"/>
    <d v="2025-03-08T00:00:00"/>
    <x v="70"/>
    <x v="2"/>
    <x v="1"/>
    <x v="0"/>
    <s v="California"/>
    <x v="3"/>
    <x v="7"/>
    <x v="9"/>
    <x v="2"/>
  </r>
  <r>
    <x v="1818"/>
    <x v="1"/>
    <x v="0"/>
    <n v="92"/>
    <x v="988"/>
    <d v="2025-03-08T00:00:00"/>
    <x v="74"/>
    <x v="0"/>
    <x v="2"/>
    <x v="0"/>
    <s v="California"/>
    <x v="3"/>
    <x v="5"/>
    <x v="9"/>
    <x v="0"/>
  </r>
  <r>
    <x v="1819"/>
    <x v="6"/>
    <x v="12"/>
    <n v="75.900000000000006"/>
    <x v="80"/>
    <d v="2025-03-08T00:00:00"/>
    <x v="65"/>
    <x v="2"/>
    <x v="1"/>
    <x v="0"/>
    <s v="California"/>
    <x v="3"/>
    <x v="1"/>
    <x v="9"/>
    <x v="2"/>
  </r>
  <r>
    <x v="1820"/>
    <x v="1"/>
    <x v="12"/>
    <n v="36.200000000000003"/>
    <x v="353"/>
    <d v="2025-03-08T00:00:00"/>
    <x v="60"/>
    <x v="2"/>
    <x v="1"/>
    <x v="0"/>
    <s v="California"/>
    <x v="3"/>
    <x v="3"/>
    <x v="9"/>
    <x v="2"/>
  </r>
  <r>
    <x v="1821"/>
    <x v="6"/>
    <x v="45"/>
    <n v="83.5"/>
    <x v="1425"/>
    <d v="2025-03-08T00:00:00"/>
    <x v="65"/>
    <x v="0"/>
    <x v="3"/>
    <x v="0"/>
    <s v="California"/>
    <x v="3"/>
    <x v="1"/>
    <x v="9"/>
    <x v="0"/>
  </r>
  <r>
    <x v="1822"/>
    <x v="19"/>
    <x v="4"/>
    <n v="52.4"/>
    <x v="1092"/>
    <d v="2025-03-08T00:00:00"/>
    <x v="70"/>
    <x v="1"/>
    <x v="2"/>
    <x v="0"/>
    <s v="California"/>
    <x v="3"/>
    <x v="7"/>
    <x v="9"/>
    <x v="1"/>
  </r>
  <r>
    <x v="1823"/>
    <x v="12"/>
    <x v="2"/>
    <n v="69.5"/>
    <x v="1416"/>
    <d v="2025-03-08T00:00:00"/>
    <x v="60"/>
    <x v="3"/>
    <x v="4"/>
    <x v="0"/>
    <s v="California"/>
    <x v="3"/>
    <x v="3"/>
    <x v="9"/>
    <x v="3"/>
  </r>
  <r>
    <x v="1824"/>
    <x v="0"/>
    <x v="0"/>
    <n v="15.5"/>
    <x v="1426"/>
    <d v="2025-03-08T00:00:00"/>
    <x v="65"/>
    <x v="1"/>
    <x v="0"/>
    <x v="0"/>
    <s v="California"/>
    <x v="3"/>
    <x v="1"/>
    <x v="9"/>
    <x v="1"/>
  </r>
  <r>
    <x v="1825"/>
    <x v="4"/>
    <x v="12"/>
    <n v="35.200000000000003"/>
    <x v="1427"/>
    <d v="2025-03-08T00:00:00"/>
    <x v="60"/>
    <x v="2"/>
    <x v="2"/>
    <x v="2"/>
    <s v="California"/>
    <x v="3"/>
    <x v="3"/>
    <x v="9"/>
    <x v="2"/>
  </r>
  <r>
    <x v="1826"/>
    <x v="8"/>
    <x v="13"/>
    <n v="34.6"/>
    <x v="1428"/>
    <d v="2025-03-08T00:00:00"/>
    <x v="60"/>
    <x v="0"/>
    <x v="0"/>
    <x v="1"/>
    <s v="California"/>
    <x v="3"/>
    <x v="3"/>
    <x v="9"/>
    <x v="0"/>
  </r>
  <r>
    <x v="1827"/>
    <x v="4"/>
    <x v="0"/>
    <n v="21.3"/>
    <x v="1429"/>
    <d v="2025-03-09T00:00:00"/>
    <x v="65"/>
    <x v="1"/>
    <x v="2"/>
    <x v="1"/>
    <s v="California"/>
    <x v="3"/>
    <x v="3"/>
    <x v="10"/>
    <x v="1"/>
  </r>
  <r>
    <x v="1828"/>
    <x v="6"/>
    <x v="1"/>
    <n v="136.5"/>
    <x v="1430"/>
    <d v="2025-03-09T00:00:00"/>
    <x v="72"/>
    <x v="2"/>
    <x v="0"/>
    <x v="0"/>
    <s v="California"/>
    <x v="37"/>
    <x v="4"/>
    <x v="10"/>
    <x v="2"/>
  </r>
  <r>
    <x v="1829"/>
    <x v="9"/>
    <x v="3"/>
    <n v="30.7"/>
    <x v="1431"/>
    <d v="2025-03-09T00:00:00"/>
    <x v="65"/>
    <x v="1"/>
    <x v="2"/>
    <x v="2"/>
    <s v="California"/>
    <x v="25"/>
    <x v="3"/>
    <x v="10"/>
    <x v="1"/>
  </r>
  <r>
    <x v="1830"/>
    <x v="1"/>
    <x v="1"/>
    <n v="61.6"/>
    <x v="1432"/>
    <d v="2025-03-09T00:00:00"/>
    <x v="65"/>
    <x v="2"/>
    <x v="2"/>
    <x v="2"/>
    <s v="California"/>
    <x v="23"/>
    <x v="3"/>
    <x v="10"/>
    <x v="2"/>
  </r>
  <r>
    <x v="1831"/>
    <x v="6"/>
    <x v="12"/>
    <n v="54.3"/>
    <x v="1433"/>
    <d v="2025-03-09T00:00:00"/>
    <x v="71"/>
    <x v="0"/>
    <x v="4"/>
    <x v="0"/>
    <s v="California"/>
    <x v="7"/>
    <x v="1"/>
    <x v="10"/>
    <x v="0"/>
  </r>
  <r>
    <x v="1832"/>
    <x v="1"/>
    <x v="1"/>
    <n v="44.1"/>
    <x v="1047"/>
    <d v="2025-03-09T00:00:00"/>
    <x v="75"/>
    <x v="2"/>
    <x v="0"/>
    <x v="2"/>
    <s v="California"/>
    <x v="8"/>
    <x v="13"/>
    <x v="10"/>
    <x v="2"/>
  </r>
  <r>
    <x v="1833"/>
    <x v="8"/>
    <x v="12"/>
    <n v="43.5"/>
    <x v="1434"/>
    <d v="2025-03-09T00:00:00"/>
    <x v="72"/>
    <x v="1"/>
    <x v="3"/>
    <x v="0"/>
    <s v="California"/>
    <x v="8"/>
    <x v="4"/>
    <x v="10"/>
    <x v="1"/>
  </r>
  <r>
    <x v="1834"/>
    <x v="8"/>
    <x v="2"/>
    <n v="48.2"/>
    <x v="1435"/>
    <d v="2025-03-09T00:00:00"/>
    <x v="64"/>
    <x v="1"/>
    <x v="3"/>
    <x v="1"/>
    <s v="California"/>
    <x v="8"/>
    <x v="5"/>
    <x v="10"/>
    <x v="1"/>
  </r>
  <r>
    <x v="1835"/>
    <x v="19"/>
    <x v="0"/>
    <n v="13.7"/>
    <x v="1436"/>
    <d v="2025-03-09T00:00:00"/>
    <x v="65"/>
    <x v="2"/>
    <x v="2"/>
    <x v="2"/>
    <s v="California"/>
    <x v="8"/>
    <x v="3"/>
    <x v="10"/>
    <x v="2"/>
  </r>
  <r>
    <x v="1836"/>
    <x v="2"/>
    <x v="1"/>
    <n v="110.5"/>
    <x v="1437"/>
    <d v="2025-03-09T00:00:00"/>
    <x v="65"/>
    <x v="2"/>
    <x v="0"/>
    <x v="1"/>
    <s v="California"/>
    <x v="8"/>
    <x v="3"/>
    <x v="10"/>
    <x v="2"/>
  </r>
  <r>
    <x v="1837"/>
    <x v="8"/>
    <x v="2"/>
    <n v="26"/>
    <x v="292"/>
    <d v="2025-03-09T00:00:00"/>
    <x v="67"/>
    <x v="2"/>
    <x v="1"/>
    <x v="1"/>
    <s v="California"/>
    <x v="8"/>
    <x v="0"/>
    <x v="10"/>
    <x v="2"/>
  </r>
  <r>
    <x v="1838"/>
    <x v="2"/>
    <x v="7"/>
    <n v="140.69999999999999"/>
    <x v="1438"/>
    <d v="2025-03-09T00:00:00"/>
    <x v="72"/>
    <x v="1"/>
    <x v="3"/>
    <x v="1"/>
    <s v="California"/>
    <x v="8"/>
    <x v="4"/>
    <x v="10"/>
    <x v="1"/>
  </r>
  <r>
    <x v="1839"/>
    <x v="17"/>
    <x v="1"/>
    <n v="41.7"/>
    <x v="925"/>
    <d v="2025-03-09T00:00:00"/>
    <x v="76"/>
    <x v="2"/>
    <x v="0"/>
    <x v="4"/>
    <s v="California"/>
    <x v="8"/>
    <x v="9"/>
    <x v="10"/>
    <x v="2"/>
  </r>
  <r>
    <x v="1840"/>
    <x v="2"/>
    <x v="1"/>
    <n v="135.1"/>
    <x v="1439"/>
    <d v="2025-03-09T00:00:00"/>
    <x v="65"/>
    <x v="1"/>
    <x v="0"/>
    <x v="2"/>
    <s v="California"/>
    <x v="17"/>
    <x v="3"/>
    <x v="10"/>
    <x v="1"/>
  </r>
  <r>
    <x v="1841"/>
    <x v="12"/>
    <x v="32"/>
    <n v="95.5"/>
    <x v="1440"/>
    <d v="2025-03-09T00:00:00"/>
    <x v="65"/>
    <x v="2"/>
    <x v="4"/>
    <x v="4"/>
    <s v="California"/>
    <x v="26"/>
    <x v="3"/>
    <x v="10"/>
    <x v="2"/>
  </r>
  <r>
    <x v="1842"/>
    <x v="15"/>
    <x v="0"/>
    <n v="25.5"/>
    <x v="1441"/>
    <d v="2025-03-09T00:00:00"/>
    <x v="74"/>
    <x v="0"/>
    <x v="2"/>
    <x v="2"/>
    <s v="California"/>
    <x v="11"/>
    <x v="2"/>
    <x v="10"/>
    <x v="0"/>
  </r>
  <r>
    <x v="1843"/>
    <x v="1"/>
    <x v="0"/>
    <n v="42.6"/>
    <x v="440"/>
    <d v="2025-03-09T00:00:00"/>
    <x v="64"/>
    <x v="2"/>
    <x v="0"/>
    <x v="0"/>
    <s v="California"/>
    <x v="11"/>
    <x v="5"/>
    <x v="10"/>
    <x v="2"/>
  </r>
  <r>
    <x v="1844"/>
    <x v="8"/>
    <x v="20"/>
    <n v="32.4"/>
    <x v="1442"/>
    <d v="2025-03-09T00:00:00"/>
    <x v="65"/>
    <x v="1"/>
    <x v="1"/>
    <x v="1"/>
    <s v="California"/>
    <x v="11"/>
    <x v="3"/>
    <x v="10"/>
    <x v="1"/>
  </r>
  <r>
    <x v="1845"/>
    <x v="4"/>
    <x v="12"/>
    <n v="20.2"/>
    <x v="1443"/>
    <d v="2025-03-09T00:00:00"/>
    <x v="65"/>
    <x v="3"/>
    <x v="2"/>
    <x v="0"/>
    <s v="California"/>
    <x v="11"/>
    <x v="3"/>
    <x v="10"/>
    <x v="3"/>
  </r>
  <r>
    <x v="1846"/>
    <x v="16"/>
    <x v="2"/>
    <n v="52.5"/>
    <x v="905"/>
    <d v="2025-03-09T00:00:00"/>
    <x v="67"/>
    <x v="2"/>
    <x v="4"/>
    <x v="0"/>
    <s v="California"/>
    <x v="18"/>
    <x v="0"/>
    <x v="10"/>
    <x v="2"/>
  </r>
  <r>
    <x v="1847"/>
    <x v="2"/>
    <x v="9"/>
    <n v="59.9"/>
    <x v="1444"/>
    <d v="2025-03-09T00:00:00"/>
    <x v="71"/>
    <x v="2"/>
    <x v="2"/>
    <x v="0"/>
    <s v="California"/>
    <x v="19"/>
    <x v="1"/>
    <x v="10"/>
    <x v="2"/>
  </r>
  <r>
    <x v="1848"/>
    <x v="4"/>
    <x v="1"/>
    <n v="53.2"/>
    <x v="793"/>
    <d v="2025-03-09T00:00:00"/>
    <x v="65"/>
    <x v="2"/>
    <x v="1"/>
    <x v="3"/>
    <s v="California"/>
    <x v="20"/>
    <x v="3"/>
    <x v="10"/>
    <x v="2"/>
  </r>
  <r>
    <x v="1849"/>
    <x v="2"/>
    <x v="1"/>
    <n v="60"/>
    <x v="160"/>
    <d v="2025-03-09T00:00:00"/>
    <x v="72"/>
    <x v="1"/>
    <x v="1"/>
    <x v="2"/>
    <s v="California"/>
    <x v="20"/>
    <x v="4"/>
    <x v="10"/>
    <x v="1"/>
  </r>
  <r>
    <x v="1850"/>
    <x v="8"/>
    <x v="2"/>
    <n v="29.3"/>
    <x v="1205"/>
    <d v="2025-03-09T00:00:00"/>
    <x v="65"/>
    <x v="2"/>
    <x v="4"/>
    <x v="0"/>
    <s v="California"/>
    <x v="13"/>
    <x v="3"/>
    <x v="10"/>
    <x v="2"/>
  </r>
  <r>
    <x v="1851"/>
    <x v="12"/>
    <x v="1"/>
    <n v="55.4"/>
    <x v="806"/>
    <d v="2025-03-09T00:00:00"/>
    <x v="65"/>
    <x v="2"/>
    <x v="0"/>
    <x v="2"/>
    <s v="California"/>
    <x v="21"/>
    <x v="3"/>
    <x v="10"/>
    <x v="2"/>
  </r>
  <r>
    <x v="1852"/>
    <x v="0"/>
    <x v="9"/>
    <n v="20.100000000000001"/>
    <x v="427"/>
    <d v="2025-03-09T00:00:00"/>
    <x v="71"/>
    <x v="2"/>
    <x v="1"/>
    <x v="2"/>
    <s v="California"/>
    <x v="21"/>
    <x v="1"/>
    <x v="10"/>
    <x v="2"/>
  </r>
  <r>
    <x v="1853"/>
    <x v="14"/>
    <x v="9"/>
    <n v="24"/>
    <x v="160"/>
    <d v="2025-03-09T00:00:00"/>
    <x v="74"/>
    <x v="1"/>
    <x v="2"/>
    <x v="0"/>
    <s v="California"/>
    <x v="1"/>
    <x v="2"/>
    <x v="10"/>
    <x v="1"/>
  </r>
  <r>
    <x v="1854"/>
    <x v="8"/>
    <x v="1"/>
    <n v="30.6"/>
    <x v="1"/>
    <d v="2025-03-10T00:00:00"/>
    <x v="74"/>
    <x v="2"/>
    <x v="0"/>
    <x v="0"/>
    <s v="California"/>
    <x v="1"/>
    <x v="1"/>
    <x v="10"/>
    <x v="2"/>
  </r>
  <r>
    <x v="1855"/>
    <x v="10"/>
    <x v="9"/>
    <n v="33"/>
    <x v="1445"/>
    <d v="2025-03-10T00:00:00"/>
    <x v="71"/>
    <x v="1"/>
    <x v="1"/>
    <x v="1"/>
    <s v="California"/>
    <x v="27"/>
    <x v="3"/>
    <x v="10"/>
    <x v="1"/>
  </r>
  <r>
    <x v="1856"/>
    <x v="17"/>
    <x v="11"/>
    <n v="42.1"/>
    <x v="1258"/>
    <d v="2025-03-10T00:00:00"/>
    <x v="69"/>
    <x v="2"/>
    <x v="2"/>
    <x v="0"/>
    <s v="California"/>
    <x v="44"/>
    <x v="4"/>
    <x v="10"/>
    <x v="2"/>
  </r>
  <r>
    <x v="1857"/>
    <x v="6"/>
    <x v="3"/>
    <n v="77.7"/>
    <x v="1446"/>
    <d v="2025-03-10T00:00:00"/>
    <x v="72"/>
    <x v="2"/>
    <x v="1"/>
    <x v="2"/>
    <s v="California"/>
    <x v="50"/>
    <x v="0"/>
    <x v="10"/>
    <x v="2"/>
  </r>
  <r>
    <x v="1858"/>
    <x v="17"/>
    <x v="13"/>
    <n v="22.7"/>
    <x v="1134"/>
    <d v="2025-03-10T00:00:00"/>
    <x v="64"/>
    <x v="2"/>
    <x v="2"/>
    <x v="0"/>
    <s v="California"/>
    <x v="3"/>
    <x v="2"/>
    <x v="10"/>
    <x v="2"/>
  </r>
  <r>
    <x v="1859"/>
    <x v="2"/>
    <x v="1"/>
    <n v="133"/>
    <x v="751"/>
    <d v="2025-03-10T00:00:00"/>
    <x v="65"/>
    <x v="1"/>
    <x v="2"/>
    <x v="2"/>
    <s v="California"/>
    <x v="3"/>
    <x v="7"/>
    <x v="10"/>
    <x v="1"/>
  </r>
  <r>
    <x v="1860"/>
    <x v="0"/>
    <x v="1"/>
    <n v="23.3"/>
    <x v="1447"/>
    <d v="2025-03-10T00:00:00"/>
    <x v="71"/>
    <x v="1"/>
    <x v="1"/>
    <x v="2"/>
    <s v="California"/>
    <x v="3"/>
    <x v="3"/>
    <x v="10"/>
    <x v="1"/>
  </r>
  <r>
    <x v="1861"/>
    <x v="8"/>
    <x v="2"/>
    <n v="20.7"/>
    <x v="1448"/>
    <d v="2025-03-10T00:00:00"/>
    <x v="74"/>
    <x v="3"/>
    <x v="0"/>
    <x v="2"/>
    <s v="California"/>
    <x v="3"/>
    <x v="1"/>
    <x v="10"/>
    <x v="3"/>
  </r>
  <r>
    <x v="1862"/>
    <x v="12"/>
    <x v="1"/>
    <n v="47"/>
    <x v="255"/>
    <d v="2025-03-10T00:00:00"/>
    <x v="71"/>
    <x v="1"/>
    <x v="1"/>
    <x v="2"/>
    <s v="California"/>
    <x v="3"/>
    <x v="3"/>
    <x v="10"/>
    <x v="1"/>
  </r>
  <r>
    <x v="1863"/>
    <x v="12"/>
    <x v="2"/>
    <n v="38.200000000000003"/>
    <x v="1449"/>
    <d v="2025-03-10T00:00:00"/>
    <x v="74"/>
    <x v="2"/>
    <x v="2"/>
    <x v="4"/>
    <s v="California"/>
    <x v="3"/>
    <x v="1"/>
    <x v="10"/>
    <x v="2"/>
  </r>
  <r>
    <x v="1864"/>
    <x v="9"/>
    <x v="0"/>
    <n v="39.1"/>
    <x v="923"/>
    <d v="2025-03-10T00:00:00"/>
    <x v="74"/>
    <x v="2"/>
    <x v="0"/>
    <x v="0"/>
    <s v="California"/>
    <x v="3"/>
    <x v="1"/>
    <x v="10"/>
    <x v="2"/>
  </r>
  <r>
    <x v="1865"/>
    <x v="7"/>
    <x v="30"/>
    <n v="55.6"/>
    <x v="1450"/>
    <d v="2025-03-10T00:00:00"/>
    <x v="74"/>
    <x v="1"/>
    <x v="0"/>
    <x v="2"/>
    <s v="California"/>
    <x v="3"/>
    <x v="1"/>
    <x v="10"/>
    <x v="1"/>
  </r>
  <r>
    <x v="1866"/>
    <x v="15"/>
    <x v="0"/>
    <n v="43.1"/>
    <x v="39"/>
    <d v="2025-03-10T00:00:00"/>
    <x v="65"/>
    <x v="3"/>
    <x v="1"/>
    <x v="2"/>
    <s v="California"/>
    <x v="3"/>
    <x v="7"/>
    <x v="10"/>
    <x v="3"/>
  </r>
  <r>
    <x v="1867"/>
    <x v="6"/>
    <x v="12"/>
    <n v="48.1"/>
    <x v="1451"/>
    <d v="2025-03-10T00:00:00"/>
    <x v="71"/>
    <x v="2"/>
    <x v="4"/>
    <x v="2"/>
    <s v="California"/>
    <x v="3"/>
    <x v="3"/>
    <x v="10"/>
    <x v="2"/>
  </r>
  <r>
    <x v="1868"/>
    <x v="4"/>
    <x v="0"/>
    <n v="42"/>
    <x v="337"/>
    <d v="2025-03-10T00:00:00"/>
    <x v="71"/>
    <x v="3"/>
    <x v="0"/>
    <x v="0"/>
    <s v="California"/>
    <x v="3"/>
    <x v="3"/>
    <x v="10"/>
    <x v="3"/>
  </r>
  <r>
    <x v="1869"/>
    <x v="8"/>
    <x v="9"/>
    <n v="18.3"/>
    <x v="1058"/>
    <d v="2025-03-10T00:00:00"/>
    <x v="65"/>
    <x v="2"/>
    <x v="2"/>
    <x v="0"/>
    <s v="California"/>
    <x v="3"/>
    <x v="7"/>
    <x v="10"/>
    <x v="2"/>
  </r>
  <r>
    <x v="1870"/>
    <x v="10"/>
    <x v="12"/>
    <n v="45.3"/>
    <x v="1452"/>
    <d v="2025-03-10T00:00:00"/>
    <x v="64"/>
    <x v="2"/>
    <x v="0"/>
    <x v="2"/>
    <s v="California"/>
    <x v="3"/>
    <x v="2"/>
    <x v="10"/>
    <x v="2"/>
  </r>
  <r>
    <x v="1871"/>
    <x v="0"/>
    <x v="1"/>
    <n v="27.6"/>
    <x v="291"/>
    <d v="2025-03-10T00:00:00"/>
    <x v="74"/>
    <x v="1"/>
    <x v="0"/>
    <x v="2"/>
    <s v="California"/>
    <x v="37"/>
    <x v="1"/>
    <x v="10"/>
    <x v="1"/>
  </r>
  <r>
    <x v="1872"/>
    <x v="4"/>
    <x v="9"/>
    <n v="26.9"/>
    <x v="531"/>
    <d v="2025-03-10T00:00:00"/>
    <x v="71"/>
    <x v="2"/>
    <x v="2"/>
    <x v="0"/>
    <s v="California"/>
    <x v="25"/>
    <x v="3"/>
    <x v="10"/>
    <x v="2"/>
  </r>
  <r>
    <x v="1873"/>
    <x v="2"/>
    <x v="11"/>
    <n v="82.4"/>
    <x v="1453"/>
    <d v="2025-03-10T00:00:00"/>
    <x v="74"/>
    <x v="3"/>
    <x v="2"/>
    <x v="0"/>
    <s v="California"/>
    <x v="5"/>
    <x v="1"/>
    <x v="10"/>
    <x v="3"/>
  </r>
  <r>
    <x v="1874"/>
    <x v="6"/>
    <x v="0"/>
    <n v="103.7"/>
    <x v="1454"/>
    <d v="2025-03-10T00:00:00"/>
    <x v="74"/>
    <x v="2"/>
    <x v="1"/>
    <x v="0"/>
    <s v="California"/>
    <x v="5"/>
    <x v="1"/>
    <x v="10"/>
    <x v="2"/>
  </r>
  <r>
    <x v="1875"/>
    <x v="2"/>
    <x v="1"/>
    <n v="58.8"/>
    <x v="833"/>
    <d v="2025-03-10T00:00:00"/>
    <x v="72"/>
    <x v="2"/>
    <x v="1"/>
    <x v="2"/>
    <s v="California"/>
    <x v="6"/>
    <x v="0"/>
    <x v="10"/>
    <x v="2"/>
  </r>
  <r>
    <x v="1876"/>
    <x v="13"/>
    <x v="0"/>
    <n v="31.5"/>
    <x v="1455"/>
    <d v="2025-03-10T00:00:00"/>
    <x v="71"/>
    <x v="2"/>
    <x v="1"/>
    <x v="1"/>
    <s v="California"/>
    <x v="6"/>
    <x v="3"/>
    <x v="10"/>
    <x v="2"/>
  </r>
  <r>
    <x v="1877"/>
    <x v="7"/>
    <x v="9"/>
    <n v="36.799999999999997"/>
    <x v="79"/>
    <d v="2025-03-10T00:00:00"/>
    <x v="74"/>
    <x v="2"/>
    <x v="0"/>
    <x v="0"/>
    <s v="California"/>
    <x v="8"/>
    <x v="1"/>
    <x v="10"/>
    <x v="2"/>
  </r>
  <r>
    <x v="1878"/>
    <x v="3"/>
    <x v="0"/>
    <n v="84.4"/>
    <x v="533"/>
    <d v="2025-03-10T00:00:00"/>
    <x v="71"/>
    <x v="2"/>
    <x v="0"/>
    <x v="0"/>
    <s v="California"/>
    <x v="8"/>
    <x v="3"/>
    <x v="10"/>
    <x v="2"/>
  </r>
  <r>
    <x v="1879"/>
    <x v="14"/>
    <x v="0"/>
    <n v="44.7"/>
    <x v="1456"/>
    <d v="2025-03-10T00:00:00"/>
    <x v="71"/>
    <x v="1"/>
    <x v="0"/>
    <x v="1"/>
    <s v="California"/>
    <x v="8"/>
    <x v="3"/>
    <x v="10"/>
    <x v="1"/>
  </r>
  <r>
    <x v="1880"/>
    <x v="9"/>
    <x v="8"/>
    <n v="39.4"/>
    <x v="895"/>
    <d v="2025-03-10T00:00:00"/>
    <x v="71"/>
    <x v="2"/>
    <x v="1"/>
    <x v="2"/>
    <s v="California"/>
    <x v="8"/>
    <x v="3"/>
    <x v="10"/>
    <x v="2"/>
  </r>
  <r>
    <x v="1881"/>
    <x v="11"/>
    <x v="12"/>
    <n v="34.9"/>
    <x v="1457"/>
    <d v="2025-03-10T00:00:00"/>
    <x v="74"/>
    <x v="2"/>
    <x v="0"/>
    <x v="2"/>
    <s v="California"/>
    <x v="8"/>
    <x v="1"/>
    <x v="10"/>
    <x v="2"/>
  </r>
  <r>
    <x v="1882"/>
    <x v="1"/>
    <x v="2"/>
    <n v="62.3"/>
    <x v="1458"/>
    <d v="2025-03-10T00:00:00"/>
    <x v="74"/>
    <x v="1"/>
    <x v="4"/>
    <x v="2"/>
    <s v="California"/>
    <x v="8"/>
    <x v="1"/>
    <x v="10"/>
    <x v="1"/>
  </r>
  <r>
    <x v="1883"/>
    <x v="8"/>
    <x v="12"/>
    <n v="21.1"/>
    <x v="533"/>
    <d v="2025-03-10T00:00:00"/>
    <x v="64"/>
    <x v="1"/>
    <x v="3"/>
    <x v="0"/>
    <s v="California"/>
    <x v="8"/>
    <x v="2"/>
    <x v="10"/>
    <x v="1"/>
  </r>
  <r>
    <x v="1884"/>
    <x v="8"/>
    <x v="2"/>
    <n v="33.200000000000003"/>
    <x v="1459"/>
    <d v="2025-03-10T00:00:00"/>
    <x v="77"/>
    <x v="0"/>
    <x v="0"/>
    <x v="4"/>
    <s v="California"/>
    <x v="8"/>
    <x v="12"/>
    <x v="10"/>
    <x v="0"/>
  </r>
  <r>
    <x v="1885"/>
    <x v="1"/>
    <x v="12"/>
    <n v="74.5"/>
    <x v="1460"/>
    <d v="2025-03-10T00:00:00"/>
    <x v="71"/>
    <x v="1"/>
    <x v="4"/>
    <x v="0"/>
    <s v="California"/>
    <x v="8"/>
    <x v="3"/>
    <x v="10"/>
    <x v="1"/>
  </r>
  <r>
    <x v="1886"/>
    <x v="10"/>
    <x v="4"/>
    <n v="68.599999999999994"/>
    <x v="1461"/>
    <d v="2025-03-10T00:00:00"/>
    <x v="64"/>
    <x v="2"/>
    <x v="0"/>
    <x v="2"/>
    <s v="California"/>
    <x v="8"/>
    <x v="2"/>
    <x v="10"/>
    <x v="2"/>
  </r>
  <r>
    <x v="1887"/>
    <x v="5"/>
    <x v="21"/>
    <n v="36.4"/>
    <x v="1462"/>
    <d v="2025-03-10T00:00:00"/>
    <x v="74"/>
    <x v="2"/>
    <x v="0"/>
    <x v="1"/>
    <s v="California"/>
    <x v="9"/>
    <x v="1"/>
    <x v="10"/>
    <x v="2"/>
  </r>
  <r>
    <x v="1888"/>
    <x v="16"/>
    <x v="9"/>
    <n v="67.599999999999994"/>
    <x v="1463"/>
    <d v="2025-03-11T00:00:00"/>
    <x v="67"/>
    <x v="2"/>
    <x v="4"/>
    <x v="1"/>
    <s v="California"/>
    <x v="9"/>
    <x v="2"/>
    <x v="10"/>
    <x v="2"/>
  </r>
  <r>
    <x v="1889"/>
    <x v="15"/>
    <x v="0"/>
    <n v="46.3"/>
    <x v="516"/>
    <d v="2025-03-11T00:00:00"/>
    <x v="74"/>
    <x v="1"/>
    <x v="2"/>
    <x v="0"/>
    <s v="California"/>
    <x v="9"/>
    <x v="3"/>
    <x v="10"/>
    <x v="1"/>
  </r>
  <r>
    <x v="1890"/>
    <x v="1"/>
    <x v="2"/>
    <n v="124.2"/>
    <x v="1464"/>
    <d v="2025-03-11T00:00:00"/>
    <x v="64"/>
    <x v="2"/>
    <x v="1"/>
    <x v="2"/>
    <s v="California"/>
    <x v="11"/>
    <x v="1"/>
    <x v="10"/>
    <x v="2"/>
  </r>
  <r>
    <x v="1891"/>
    <x v="10"/>
    <x v="1"/>
    <n v="37"/>
    <x v="372"/>
    <d v="2025-03-11T00:00:00"/>
    <x v="76"/>
    <x v="1"/>
    <x v="0"/>
    <x v="0"/>
    <s v="California"/>
    <x v="11"/>
    <x v="4"/>
    <x v="10"/>
    <x v="1"/>
  </r>
  <r>
    <x v="1892"/>
    <x v="5"/>
    <x v="0"/>
    <n v="41.8"/>
    <x v="1465"/>
    <d v="2025-03-11T00:00:00"/>
    <x v="74"/>
    <x v="1"/>
    <x v="2"/>
    <x v="0"/>
    <s v="California"/>
    <x v="31"/>
    <x v="3"/>
    <x v="10"/>
    <x v="1"/>
  </r>
  <r>
    <x v="1893"/>
    <x v="9"/>
    <x v="1"/>
    <n v="57.2"/>
    <x v="1466"/>
    <d v="2025-03-11T00:00:00"/>
    <x v="64"/>
    <x v="1"/>
    <x v="2"/>
    <x v="1"/>
    <s v="California"/>
    <x v="20"/>
    <x v="1"/>
    <x v="10"/>
    <x v="1"/>
  </r>
  <r>
    <x v="1894"/>
    <x v="6"/>
    <x v="1"/>
    <n v="47.1"/>
    <x v="1467"/>
    <d v="2025-03-11T00:00:00"/>
    <x v="64"/>
    <x v="2"/>
    <x v="0"/>
    <x v="4"/>
    <s v="California"/>
    <x v="20"/>
    <x v="1"/>
    <x v="10"/>
    <x v="2"/>
  </r>
  <r>
    <x v="1895"/>
    <x v="5"/>
    <x v="2"/>
    <n v="86.4"/>
    <x v="1468"/>
    <d v="2025-03-11T00:00:00"/>
    <x v="74"/>
    <x v="1"/>
    <x v="2"/>
    <x v="1"/>
    <s v="California"/>
    <x v="52"/>
    <x v="3"/>
    <x v="10"/>
    <x v="1"/>
  </r>
  <r>
    <x v="1896"/>
    <x v="6"/>
    <x v="9"/>
    <n v="105"/>
    <x v="1469"/>
    <d v="2025-03-11T00:00:00"/>
    <x v="67"/>
    <x v="1"/>
    <x v="0"/>
    <x v="0"/>
    <s v="California"/>
    <x v="13"/>
    <x v="2"/>
    <x v="10"/>
    <x v="1"/>
  </r>
  <r>
    <x v="1897"/>
    <x v="18"/>
    <x v="0"/>
    <n v="33"/>
    <x v="940"/>
    <d v="2025-03-11T00:00:00"/>
    <x v="67"/>
    <x v="1"/>
    <x v="4"/>
    <x v="0"/>
    <s v="California"/>
    <x v="21"/>
    <x v="2"/>
    <x v="10"/>
    <x v="1"/>
  </r>
  <r>
    <x v="1898"/>
    <x v="6"/>
    <x v="9"/>
    <n v="106.6"/>
    <x v="1470"/>
    <d v="2025-03-11T00:00:00"/>
    <x v="77"/>
    <x v="2"/>
    <x v="2"/>
    <x v="0"/>
    <s v="California"/>
    <x v="1"/>
    <x v="10"/>
    <x v="10"/>
    <x v="2"/>
  </r>
  <r>
    <x v="1899"/>
    <x v="10"/>
    <x v="46"/>
    <n v="26.8"/>
    <x v="1471"/>
    <d v="2025-03-11T00:00:00"/>
    <x v="74"/>
    <x v="2"/>
    <x v="2"/>
    <x v="0"/>
    <s v="California"/>
    <x v="1"/>
    <x v="3"/>
    <x v="10"/>
    <x v="2"/>
  </r>
  <r>
    <x v="1900"/>
    <x v="17"/>
    <x v="9"/>
    <n v="25.8"/>
    <x v="309"/>
    <d v="2025-03-11T00:00:00"/>
    <x v="71"/>
    <x v="2"/>
    <x v="1"/>
    <x v="2"/>
    <s v="California"/>
    <x v="3"/>
    <x v="7"/>
    <x v="10"/>
    <x v="2"/>
  </r>
  <r>
    <x v="1901"/>
    <x v="2"/>
    <x v="2"/>
    <n v="217"/>
    <x v="1472"/>
    <d v="2025-03-11T00:00:00"/>
    <x v="74"/>
    <x v="2"/>
    <x v="1"/>
    <x v="1"/>
    <s v="California"/>
    <x v="3"/>
    <x v="3"/>
    <x v="10"/>
    <x v="2"/>
  </r>
  <r>
    <x v="1902"/>
    <x v="2"/>
    <x v="1"/>
    <n v="97.3"/>
    <x v="1473"/>
    <d v="2025-03-11T00:00:00"/>
    <x v="74"/>
    <x v="1"/>
    <x v="2"/>
    <x v="4"/>
    <s v="California"/>
    <x v="3"/>
    <x v="3"/>
    <x v="10"/>
    <x v="1"/>
  </r>
  <r>
    <x v="1903"/>
    <x v="1"/>
    <x v="0"/>
    <n v="49.8"/>
    <x v="1474"/>
    <d v="2025-03-11T00:00:00"/>
    <x v="74"/>
    <x v="2"/>
    <x v="0"/>
    <x v="0"/>
    <s v="California"/>
    <x v="3"/>
    <x v="3"/>
    <x v="10"/>
    <x v="2"/>
  </r>
  <r>
    <x v="1904"/>
    <x v="12"/>
    <x v="9"/>
    <n v="32.6"/>
    <x v="1475"/>
    <d v="2025-03-11T00:00:00"/>
    <x v="74"/>
    <x v="2"/>
    <x v="0"/>
    <x v="0"/>
    <s v="California"/>
    <x v="3"/>
    <x v="3"/>
    <x v="10"/>
    <x v="2"/>
  </r>
  <r>
    <x v="1905"/>
    <x v="9"/>
    <x v="1"/>
    <n v="40.1"/>
    <x v="556"/>
    <d v="2025-03-11T00:00:00"/>
    <x v="67"/>
    <x v="1"/>
    <x v="1"/>
    <x v="2"/>
    <s v="California"/>
    <x v="3"/>
    <x v="2"/>
    <x v="10"/>
    <x v="1"/>
  </r>
  <r>
    <x v="1906"/>
    <x v="10"/>
    <x v="1"/>
    <n v="49.4"/>
    <x v="197"/>
    <d v="2025-03-11T00:00:00"/>
    <x v="64"/>
    <x v="1"/>
    <x v="1"/>
    <x v="0"/>
    <s v="California"/>
    <x v="3"/>
    <x v="1"/>
    <x v="10"/>
    <x v="1"/>
  </r>
  <r>
    <x v="1907"/>
    <x v="2"/>
    <x v="0"/>
    <n v="67.3"/>
    <x v="1476"/>
    <d v="2025-03-11T00:00:00"/>
    <x v="74"/>
    <x v="2"/>
    <x v="0"/>
    <x v="2"/>
    <s v="California"/>
    <x v="3"/>
    <x v="3"/>
    <x v="10"/>
    <x v="2"/>
  </r>
  <r>
    <x v="1908"/>
    <x v="18"/>
    <x v="12"/>
    <n v="44.5"/>
    <x v="394"/>
    <d v="2025-03-11T00:00:00"/>
    <x v="67"/>
    <x v="0"/>
    <x v="1"/>
    <x v="0"/>
    <s v="California"/>
    <x v="3"/>
    <x v="2"/>
    <x v="10"/>
    <x v="0"/>
  </r>
  <r>
    <x v="1909"/>
    <x v="6"/>
    <x v="5"/>
    <n v="111.1"/>
    <x v="1477"/>
    <d v="2025-03-11T00:00:00"/>
    <x v="74"/>
    <x v="2"/>
    <x v="4"/>
    <x v="0"/>
    <s v="California"/>
    <x v="3"/>
    <x v="3"/>
    <x v="10"/>
    <x v="2"/>
  </r>
  <r>
    <x v="1910"/>
    <x v="8"/>
    <x v="2"/>
    <n v="19.7"/>
    <x v="1478"/>
    <d v="2025-03-11T00:00:00"/>
    <x v="74"/>
    <x v="2"/>
    <x v="4"/>
    <x v="4"/>
    <s v="California"/>
    <x v="3"/>
    <x v="3"/>
    <x v="10"/>
    <x v="2"/>
  </r>
  <r>
    <x v="1911"/>
    <x v="1"/>
    <x v="0"/>
    <n v="40.299999999999997"/>
    <x v="518"/>
    <d v="2025-03-11T00:00:00"/>
    <x v="74"/>
    <x v="3"/>
    <x v="1"/>
    <x v="0"/>
    <s v="California"/>
    <x v="3"/>
    <x v="3"/>
    <x v="10"/>
    <x v="3"/>
  </r>
  <r>
    <x v="1912"/>
    <x v="6"/>
    <x v="1"/>
    <n v="108.8"/>
    <x v="1479"/>
    <d v="2025-03-11T00:00:00"/>
    <x v="69"/>
    <x v="1"/>
    <x v="0"/>
    <x v="2"/>
    <s v="California"/>
    <x v="6"/>
    <x v="0"/>
    <x v="10"/>
    <x v="1"/>
  </r>
  <r>
    <x v="1913"/>
    <x v="8"/>
    <x v="2"/>
    <n v="48.2"/>
    <x v="1435"/>
    <d v="2025-03-11T00:00:00"/>
    <x v="69"/>
    <x v="2"/>
    <x v="4"/>
    <x v="0"/>
    <s v="California"/>
    <x v="7"/>
    <x v="0"/>
    <x v="10"/>
    <x v="2"/>
  </r>
  <r>
    <x v="1914"/>
    <x v="2"/>
    <x v="2"/>
    <n v="104.7"/>
    <x v="1480"/>
    <d v="2025-03-11T00:00:00"/>
    <x v="64"/>
    <x v="2"/>
    <x v="0"/>
    <x v="1"/>
    <s v="California"/>
    <x v="7"/>
    <x v="1"/>
    <x v="10"/>
    <x v="2"/>
  </r>
  <r>
    <x v="1915"/>
    <x v="1"/>
    <x v="1"/>
    <n v="80.599999999999994"/>
    <x v="154"/>
    <d v="2025-03-11T00:00:00"/>
    <x v="71"/>
    <x v="2"/>
    <x v="1"/>
    <x v="0"/>
    <s v="California"/>
    <x v="8"/>
    <x v="7"/>
    <x v="10"/>
    <x v="2"/>
  </r>
  <r>
    <x v="1916"/>
    <x v="6"/>
    <x v="0"/>
    <n v="65.5"/>
    <x v="1481"/>
    <d v="2025-03-11T00:00:00"/>
    <x v="64"/>
    <x v="3"/>
    <x v="1"/>
    <x v="0"/>
    <s v="California"/>
    <x v="8"/>
    <x v="1"/>
    <x v="10"/>
    <x v="3"/>
  </r>
  <r>
    <x v="1917"/>
    <x v="9"/>
    <x v="2"/>
    <n v="61.4"/>
    <x v="1173"/>
    <d v="2025-03-11T00:00:00"/>
    <x v="64"/>
    <x v="2"/>
    <x v="4"/>
    <x v="2"/>
    <s v="California"/>
    <x v="8"/>
    <x v="1"/>
    <x v="10"/>
    <x v="2"/>
  </r>
  <r>
    <x v="1918"/>
    <x v="0"/>
    <x v="0"/>
    <n v="12.5"/>
    <x v="1482"/>
    <d v="2025-03-12T00:00:00"/>
    <x v="72"/>
    <x v="2"/>
    <x v="0"/>
    <x v="1"/>
    <s v="California"/>
    <x v="8"/>
    <x v="2"/>
    <x v="10"/>
    <x v="2"/>
  </r>
  <r>
    <x v="1919"/>
    <x v="4"/>
    <x v="12"/>
    <n v="35.1"/>
    <x v="381"/>
    <d v="2025-03-12T00:00:00"/>
    <x v="64"/>
    <x v="1"/>
    <x v="2"/>
    <x v="1"/>
    <s v="California"/>
    <x v="17"/>
    <x v="3"/>
    <x v="10"/>
    <x v="1"/>
  </r>
  <r>
    <x v="1920"/>
    <x v="5"/>
    <x v="1"/>
    <n v="55.7"/>
    <x v="1483"/>
    <d v="2025-03-12T00:00:00"/>
    <x v="64"/>
    <x v="1"/>
    <x v="0"/>
    <x v="1"/>
    <s v="California"/>
    <x v="26"/>
    <x v="3"/>
    <x v="10"/>
    <x v="1"/>
  </r>
  <r>
    <x v="1921"/>
    <x v="7"/>
    <x v="1"/>
    <n v="57.7"/>
    <x v="1484"/>
    <d v="2025-03-12T00:00:00"/>
    <x v="67"/>
    <x v="1"/>
    <x v="4"/>
    <x v="1"/>
    <s v="California"/>
    <x v="9"/>
    <x v="1"/>
    <x v="10"/>
    <x v="1"/>
  </r>
  <r>
    <x v="1922"/>
    <x v="2"/>
    <x v="13"/>
    <n v="85.7"/>
    <x v="1485"/>
    <d v="2025-03-12T00:00:00"/>
    <x v="64"/>
    <x v="1"/>
    <x v="3"/>
    <x v="2"/>
    <s v="California"/>
    <x v="9"/>
    <x v="3"/>
    <x v="10"/>
    <x v="1"/>
  </r>
  <r>
    <x v="1923"/>
    <x v="2"/>
    <x v="2"/>
    <n v="86.9"/>
    <x v="1486"/>
    <d v="2025-03-12T00:00:00"/>
    <x v="67"/>
    <x v="2"/>
    <x v="1"/>
    <x v="0"/>
    <s v="California"/>
    <x v="11"/>
    <x v="1"/>
    <x v="10"/>
    <x v="2"/>
  </r>
  <r>
    <x v="1924"/>
    <x v="18"/>
    <x v="1"/>
    <n v="46.4"/>
    <x v="1487"/>
    <d v="2025-03-12T00:00:00"/>
    <x v="72"/>
    <x v="2"/>
    <x v="4"/>
    <x v="0"/>
    <s v="California"/>
    <x v="11"/>
    <x v="2"/>
    <x v="10"/>
    <x v="2"/>
  </r>
  <r>
    <x v="1925"/>
    <x v="5"/>
    <x v="2"/>
    <n v="25.4"/>
    <x v="1488"/>
    <d v="2025-03-12T00:00:00"/>
    <x v="74"/>
    <x v="2"/>
    <x v="2"/>
    <x v="2"/>
    <s v="California"/>
    <x v="18"/>
    <x v="7"/>
    <x v="10"/>
    <x v="2"/>
  </r>
  <r>
    <x v="1926"/>
    <x v="10"/>
    <x v="2"/>
    <n v="47.8"/>
    <x v="1489"/>
    <d v="2025-03-12T00:00:00"/>
    <x v="74"/>
    <x v="0"/>
    <x v="2"/>
    <x v="2"/>
    <s v="California"/>
    <x v="19"/>
    <x v="7"/>
    <x v="10"/>
    <x v="0"/>
  </r>
  <r>
    <x v="1927"/>
    <x v="8"/>
    <x v="10"/>
    <n v="18.399999999999999"/>
    <x v="1490"/>
    <d v="2025-03-12T00:00:00"/>
    <x v="67"/>
    <x v="3"/>
    <x v="2"/>
    <x v="0"/>
    <s v="California"/>
    <x v="20"/>
    <x v="1"/>
    <x v="10"/>
    <x v="3"/>
  </r>
  <r>
    <x v="1928"/>
    <x v="12"/>
    <x v="2"/>
    <n v="65.5"/>
    <x v="756"/>
    <d v="2025-03-12T00:00:00"/>
    <x v="78"/>
    <x v="2"/>
    <x v="0"/>
    <x v="0"/>
    <s v="California"/>
    <x v="21"/>
    <x v="9"/>
    <x v="10"/>
    <x v="2"/>
  </r>
  <r>
    <x v="1929"/>
    <x v="10"/>
    <x v="1"/>
    <n v="50.6"/>
    <x v="855"/>
    <d v="2025-03-12T00:00:00"/>
    <x v="72"/>
    <x v="1"/>
    <x v="2"/>
    <x v="4"/>
    <s v="California"/>
    <x v="21"/>
    <x v="2"/>
    <x v="10"/>
    <x v="1"/>
  </r>
  <r>
    <x v="1930"/>
    <x v="3"/>
    <x v="9"/>
    <n v="69"/>
    <x v="1491"/>
    <d v="2025-03-12T00:00:00"/>
    <x v="69"/>
    <x v="1"/>
    <x v="3"/>
    <x v="0"/>
    <s v="California"/>
    <x v="21"/>
    <x v="5"/>
    <x v="10"/>
    <x v="1"/>
  </r>
  <r>
    <x v="1931"/>
    <x v="9"/>
    <x v="8"/>
    <n v="51.1"/>
    <x v="18"/>
    <d v="2025-03-12T00:00:00"/>
    <x v="67"/>
    <x v="2"/>
    <x v="0"/>
    <x v="0"/>
    <s v="California"/>
    <x v="1"/>
    <x v="1"/>
    <x v="10"/>
    <x v="2"/>
  </r>
  <r>
    <x v="1932"/>
    <x v="9"/>
    <x v="0"/>
    <n v="36.1"/>
    <x v="168"/>
    <d v="2025-03-12T00:00:00"/>
    <x v="64"/>
    <x v="2"/>
    <x v="0"/>
    <x v="2"/>
    <s v="California"/>
    <x v="34"/>
    <x v="3"/>
    <x v="10"/>
    <x v="2"/>
  </r>
  <r>
    <x v="1933"/>
    <x v="14"/>
    <x v="0"/>
    <n v="18.7"/>
    <x v="1492"/>
    <d v="2025-03-12T00:00:00"/>
    <x v="64"/>
    <x v="1"/>
    <x v="0"/>
    <x v="0"/>
    <s v="California"/>
    <x v="3"/>
    <x v="3"/>
    <x v="10"/>
    <x v="1"/>
  </r>
  <r>
    <x v="1934"/>
    <x v="17"/>
    <x v="0"/>
    <n v="30.1"/>
    <x v="1493"/>
    <d v="2025-03-12T00:00:00"/>
    <x v="72"/>
    <x v="2"/>
    <x v="3"/>
    <x v="1"/>
    <s v="California"/>
    <x v="3"/>
    <x v="2"/>
    <x v="10"/>
    <x v="2"/>
  </r>
  <r>
    <x v="1935"/>
    <x v="8"/>
    <x v="0"/>
    <n v="16.3"/>
    <x v="1494"/>
    <d v="2025-03-12T00:00:00"/>
    <x v="64"/>
    <x v="1"/>
    <x v="3"/>
    <x v="0"/>
    <s v="California"/>
    <x v="3"/>
    <x v="3"/>
    <x v="10"/>
    <x v="1"/>
  </r>
  <r>
    <x v="1936"/>
    <x v="1"/>
    <x v="2"/>
    <n v="63.8"/>
    <x v="1348"/>
    <d v="2025-03-12T00:00:00"/>
    <x v="76"/>
    <x v="2"/>
    <x v="2"/>
    <x v="1"/>
    <s v="California"/>
    <x v="3"/>
    <x v="0"/>
    <x v="10"/>
    <x v="2"/>
  </r>
  <r>
    <x v="1937"/>
    <x v="1"/>
    <x v="3"/>
    <n v="73.900000000000006"/>
    <x v="1495"/>
    <d v="2025-03-12T00:00:00"/>
    <x v="74"/>
    <x v="2"/>
    <x v="0"/>
    <x v="1"/>
    <s v="California"/>
    <x v="3"/>
    <x v="7"/>
    <x v="10"/>
    <x v="2"/>
  </r>
  <r>
    <x v="1938"/>
    <x v="0"/>
    <x v="1"/>
    <n v="20.2"/>
    <x v="1400"/>
    <d v="2025-03-12T00:00:00"/>
    <x v="64"/>
    <x v="1"/>
    <x v="0"/>
    <x v="1"/>
    <s v="California"/>
    <x v="3"/>
    <x v="3"/>
    <x v="10"/>
    <x v="1"/>
  </r>
  <r>
    <x v="1939"/>
    <x v="11"/>
    <x v="5"/>
    <n v="29.5"/>
    <x v="1496"/>
    <d v="2025-03-12T00:00:00"/>
    <x v="64"/>
    <x v="1"/>
    <x v="0"/>
    <x v="0"/>
    <s v="California"/>
    <x v="3"/>
    <x v="3"/>
    <x v="10"/>
    <x v="1"/>
  </r>
  <r>
    <x v="1940"/>
    <x v="15"/>
    <x v="3"/>
    <n v="37.9"/>
    <x v="1497"/>
    <d v="2025-03-12T00:00:00"/>
    <x v="64"/>
    <x v="1"/>
    <x v="1"/>
    <x v="0"/>
    <s v="California"/>
    <x v="3"/>
    <x v="3"/>
    <x v="10"/>
    <x v="1"/>
  </r>
  <r>
    <x v="1941"/>
    <x v="2"/>
    <x v="0"/>
    <n v="56.5"/>
    <x v="1498"/>
    <d v="2025-03-12T00:00:00"/>
    <x v="64"/>
    <x v="2"/>
    <x v="2"/>
    <x v="1"/>
    <s v="California"/>
    <x v="3"/>
    <x v="3"/>
    <x v="10"/>
    <x v="2"/>
  </r>
  <r>
    <x v="1942"/>
    <x v="2"/>
    <x v="1"/>
    <n v="66.900000000000006"/>
    <x v="981"/>
    <d v="2025-03-12T00:00:00"/>
    <x v="73"/>
    <x v="1"/>
    <x v="1"/>
    <x v="4"/>
    <s v="California"/>
    <x v="25"/>
    <x v="4"/>
    <x v="10"/>
    <x v="1"/>
  </r>
  <r>
    <x v="1943"/>
    <x v="2"/>
    <x v="9"/>
    <n v="51.9"/>
    <x v="1499"/>
    <d v="2025-03-12T00:00:00"/>
    <x v="72"/>
    <x v="1"/>
    <x v="1"/>
    <x v="0"/>
    <s v="California"/>
    <x v="7"/>
    <x v="2"/>
    <x v="10"/>
    <x v="1"/>
  </r>
  <r>
    <x v="1944"/>
    <x v="2"/>
    <x v="1"/>
    <n v="75.599999999999994"/>
    <x v="277"/>
    <d v="2025-03-12T00:00:00"/>
    <x v="72"/>
    <x v="1"/>
    <x v="1"/>
    <x v="0"/>
    <s v="California"/>
    <x v="8"/>
    <x v="2"/>
    <x v="10"/>
    <x v="1"/>
  </r>
  <r>
    <x v="1945"/>
    <x v="12"/>
    <x v="13"/>
    <n v="47.3"/>
    <x v="592"/>
    <d v="2025-03-12T00:00:00"/>
    <x v="79"/>
    <x v="1"/>
    <x v="0"/>
    <x v="0"/>
    <s v="California"/>
    <x v="8"/>
    <x v="11"/>
    <x v="10"/>
    <x v="1"/>
  </r>
  <r>
    <x v="1946"/>
    <x v="4"/>
    <x v="0"/>
    <n v="20.6"/>
    <x v="1500"/>
    <d v="2025-03-12T00:00:00"/>
    <x v="64"/>
    <x v="0"/>
    <x v="0"/>
    <x v="1"/>
    <s v="California"/>
    <x v="8"/>
    <x v="3"/>
    <x v="10"/>
    <x v="0"/>
  </r>
  <r>
    <x v="1947"/>
    <x v="6"/>
    <x v="2"/>
    <n v="49.7"/>
    <x v="1501"/>
    <d v="2025-03-12T00:00:00"/>
    <x v="67"/>
    <x v="1"/>
    <x v="0"/>
    <x v="1"/>
    <s v="California"/>
    <x v="8"/>
    <x v="1"/>
    <x v="10"/>
    <x v="1"/>
  </r>
  <r>
    <x v="1948"/>
    <x v="3"/>
    <x v="0"/>
    <n v="37.9"/>
    <x v="853"/>
    <d v="2025-03-12T00:00:00"/>
    <x v="67"/>
    <x v="2"/>
    <x v="0"/>
    <x v="0"/>
    <s v="California"/>
    <x v="8"/>
    <x v="1"/>
    <x v="10"/>
    <x v="2"/>
  </r>
  <r>
    <x v="1949"/>
    <x v="13"/>
    <x v="20"/>
    <n v="32"/>
    <x v="1502"/>
    <d v="2025-03-12T00:00:00"/>
    <x v="67"/>
    <x v="2"/>
    <x v="4"/>
    <x v="0"/>
    <s v="California"/>
    <x v="11"/>
    <x v="1"/>
    <x v="10"/>
    <x v="2"/>
  </r>
  <r>
    <x v="1950"/>
    <x v="10"/>
    <x v="16"/>
    <n v="38.5"/>
    <x v="1503"/>
    <d v="2025-03-13T00:00:00"/>
    <x v="67"/>
    <x v="1"/>
    <x v="0"/>
    <x v="2"/>
    <s v="California"/>
    <x v="11"/>
    <x v="3"/>
    <x v="10"/>
    <x v="1"/>
  </r>
  <r>
    <x v="1951"/>
    <x v="0"/>
    <x v="12"/>
    <n v="11.7"/>
    <x v="86"/>
    <d v="2025-03-13T00:00:00"/>
    <x v="72"/>
    <x v="2"/>
    <x v="1"/>
    <x v="0"/>
    <s v="California"/>
    <x v="20"/>
    <x v="1"/>
    <x v="10"/>
    <x v="2"/>
  </r>
  <r>
    <x v="1952"/>
    <x v="3"/>
    <x v="13"/>
    <n v="83.8"/>
    <x v="1504"/>
    <d v="2025-03-13T00:00:00"/>
    <x v="67"/>
    <x v="1"/>
    <x v="0"/>
    <x v="0"/>
    <s v="California"/>
    <x v="21"/>
    <x v="3"/>
    <x v="10"/>
    <x v="1"/>
  </r>
  <r>
    <x v="1953"/>
    <x v="0"/>
    <x v="3"/>
    <n v="14"/>
    <x v="11"/>
    <d v="2025-03-13T00:00:00"/>
    <x v="69"/>
    <x v="1"/>
    <x v="0"/>
    <x v="1"/>
    <s v="California"/>
    <x v="22"/>
    <x v="2"/>
    <x v="10"/>
    <x v="1"/>
  </r>
  <r>
    <x v="1954"/>
    <x v="16"/>
    <x v="12"/>
    <n v="77.3"/>
    <x v="1505"/>
    <d v="2025-03-13T00:00:00"/>
    <x v="72"/>
    <x v="2"/>
    <x v="4"/>
    <x v="2"/>
    <s v="California"/>
    <x v="3"/>
    <x v="1"/>
    <x v="10"/>
    <x v="2"/>
  </r>
  <r>
    <x v="1955"/>
    <x v="2"/>
    <x v="1"/>
    <n v="76.900000000000006"/>
    <x v="1506"/>
    <d v="2025-03-13T00:00:00"/>
    <x v="76"/>
    <x v="2"/>
    <x v="0"/>
    <x v="1"/>
    <s v="California"/>
    <x v="3"/>
    <x v="5"/>
    <x v="10"/>
    <x v="2"/>
  </r>
  <r>
    <x v="1956"/>
    <x v="1"/>
    <x v="0"/>
    <n v="48"/>
    <x v="510"/>
    <d v="2025-03-13T00:00:00"/>
    <x v="72"/>
    <x v="2"/>
    <x v="1"/>
    <x v="2"/>
    <s v="California"/>
    <x v="3"/>
    <x v="1"/>
    <x v="10"/>
    <x v="2"/>
  </r>
  <r>
    <x v="1957"/>
    <x v="2"/>
    <x v="0"/>
    <n v="94.5"/>
    <x v="234"/>
    <d v="2025-03-13T00:00:00"/>
    <x v="69"/>
    <x v="1"/>
    <x v="1"/>
    <x v="1"/>
    <s v="California"/>
    <x v="3"/>
    <x v="2"/>
    <x v="10"/>
    <x v="1"/>
  </r>
  <r>
    <x v="1958"/>
    <x v="10"/>
    <x v="2"/>
    <n v="58.4"/>
    <x v="122"/>
    <d v="2025-03-13T00:00:00"/>
    <x v="72"/>
    <x v="2"/>
    <x v="1"/>
    <x v="2"/>
    <s v="California"/>
    <x v="3"/>
    <x v="1"/>
    <x v="10"/>
    <x v="2"/>
  </r>
  <r>
    <x v="1959"/>
    <x v="7"/>
    <x v="15"/>
    <n v="42.2"/>
    <x v="1507"/>
    <d v="2025-03-13T00:00:00"/>
    <x v="64"/>
    <x v="1"/>
    <x v="0"/>
    <x v="0"/>
    <s v="California"/>
    <x v="25"/>
    <x v="7"/>
    <x v="10"/>
    <x v="1"/>
  </r>
  <r>
    <x v="1960"/>
    <x v="6"/>
    <x v="1"/>
    <n v="152.19999999999999"/>
    <x v="1508"/>
    <d v="2025-03-13T00:00:00"/>
    <x v="67"/>
    <x v="1"/>
    <x v="4"/>
    <x v="1"/>
    <s v="California"/>
    <x v="25"/>
    <x v="3"/>
    <x v="10"/>
    <x v="1"/>
  </r>
  <r>
    <x v="1961"/>
    <x v="6"/>
    <x v="25"/>
    <n v="72"/>
    <x v="1509"/>
    <d v="2025-03-13T00:00:00"/>
    <x v="67"/>
    <x v="1"/>
    <x v="0"/>
    <x v="1"/>
    <s v="California"/>
    <x v="6"/>
    <x v="3"/>
    <x v="10"/>
    <x v="1"/>
  </r>
  <r>
    <x v="1962"/>
    <x v="1"/>
    <x v="44"/>
    <n v="70.900000000000006"/>
    <x v="1510"/>
    <d v="2025-03-13T00:00:00"/>
    <x v="67"/>
    <x v="2"/>
    <x v="2"/>
    <x v="0"/>
    <s v="California"/>
    <x v="8"/>
    <x v="3"/>
    <x v="10"/>
    <x v="2"/>
  </r>
  <r>
    <x v="1963"/>
    <x v="2"/>
    <x v="1"/>
    <n v="53.7"/>
    <x v="1511"/>
    <d v="2025-03-13T00:00:00"/>
    <x v="67"/>
    <x v="1"/>
    <x v="2"/>
    <x v="2"/>
    <s v="California"/>
    <x v="8"/>
    <x v="3"/>
    <x v="10"/>
    <x v="1"/>
  </r>
  <r>
    <x v="1964"/>
    <x v="9"/>
    <x v="12"/>
    <n v="42.9"/>
    <x v="1512"/>
    <d v="2025-03-13T00:00:00"/>
    <x v="67"/>
    <x v="2"/>
    <x v="2"/>
    <x v="4"/>
    <s v="California"/>
    <x v="9"/>
    <x v="3"/>
    <x v="10"/>
    <x v="2"/>
  </r>
  <r>
    <x v="1965"/>
    <x v="2"/>
    <x v="3"/>
    <n v="107.5"/>
    <x v="1513"/>
    <d v="2025-03-13T00:00:00"/>
    <x v="67"/>
    <x v="1"/>
    <x v="1"/>
    <x v="0"/>
    <s v="California"/>
    <x v="11"/>
    <x v="3"/>
    <x v="10"/>
    <x v="1"/>
  </r>
  <r>
    <x v="1966"/>
    <x v="17"/>
    <x v="27"/>
    <n v="21.5"/>
    <x v="1213"/>
    <d v="2025-03-13T00:00:00"/>
    <x v="67"/>
    <x v="1"/>
    <x v="1"/>
    <x v="1"/>
    <s v="California"/>
    <x v="32"/>
    <x v="3"/>
    <x v="10"/>
    <x v="1"/>
  </r>
  <r>
    <x v="1967"/>
    <x v="3"/>
    <x v="9"/>
    <n v="85.3"/>
    <x v="1514"/>
    <d v="2025-03-13T00:00:00"/>
    <x v="72"/>
    <x v="2"/>
    <x v="3"/>
    <x v="0"/>
    <s v="California"/>
    <x v="18"/>
    <x v="1"/>
    <x v="10"/>
    <x v="2"/>
  </r>
  <r>
    <x v="1968"/>
    <x v="7"/>
    <x v="9"/>
    <n v="80.8"/>
    <x v="1515"/>
    <d v="2025-03-13T00:00:00"/>
    <x v="75"/>
    <x v="3"/>
    <x v="1"/>
    <x v="1"/>
    <s v="California"/>
    <x v="19"/>
    <x v="9"/>
    <x v="10"/>
    <x v="3"/>
  </r>
  <r>
    <x v="1969"/>
    <x v="2"/>
    <x v="2"/>
    <n v="123.1"/>
    <x v="1516"/>
    <d v="2025-03-13T00:00:00"/>
    <x v="72"/>
    <x v="0"/>
    <x v="2"/>
    <x v="0"/>
    <s v="California"/>
    <x v="21"/>
    <x v="1"/>
    <x v="10"/>
    <x v="0"/>
  </r>
  <r>
    <x v="1970"/>
    <x v="8"/>
    <x v="1"/>
    <n v="36.9"/>
    <x v="1517"/>
    <d v="2025-03-13T00:00:00"/>
    <x v="72"/>
    <x v="2"/>
    <x v="2"/>
    <x v="4"/>
    <s v="California"/>
    <x v="51"/>
    <x v="1"/>
    <x v="10"/>
    <x v="2"/>
  </r>
  <r>
    <x v="1971"/>
    <x v="11"/>
    <x v="9"/>
    <n v="40"/>
    <x v="308"/>
    <d v="2025-03-13T00:00:00"/>
    <x v="67"/>
    <x v="1"/>
    <x v="0"/>
    <x v="0"/>
    <s v="California"/>
    <x v="1"/>
    <x v="3"/>
    <x v="10"/>
    <x v="1"/>
  </r>
  <r>
    <x v="1972"/>
    <x v="6"/>
    <x v="2"/>
    <n v="55.5"/>
    <x v="1256"/>
    <d v="2025-03-13T00:00:00"/>
    <x v="67"/>
    <x v="1"/>
    <x v="4"/>
    <x v="2"/>
    <s v="California"/>
    <x v="1"/>
    <x v="3"/>
    <x v="10"/>
    <x v="1"/>
  </r>
  <r>
    <x v="1973"/>
    <x v="0"/>
    <x v="12"/>
    <n v="20.5"/>
    <x v="1518"/>
    <d v="2025-03-13T00:00:00"/>
    <x v="76"/>
    <x v="2"/>
    <x v="4"/>
    <x v="0"/>
    <s v="California"/>
    <x v="1"/>
    <x v="5"/>
    <x v="10"/>
    <x v="2"/>
  </r>
  <r>
    <x v="1974"/>
    <x v="18"/>
    <x v="12"/>
    <n v="50.1"/>
    <x v="1519"/>
    <d v="2025-03-13T00:00:00"/>
    <x v="67"/>
    <x v="2"/>
    <x v="4"/>
    <x v="0"/>
    <s v="California"/>
    <x v="1"/>
    <x v="3"/>
    <x v="10"/>
    <x v="2"/>
  </r>
  <r>
    <x v="1975"/>
    <x v="9"/>
    <x v="0"/>
    <n v="35.9"/>
    <x v="1520"/>
    <d v="2025-03-13T00:00:00"/>
    <x v="72"/>
    <x v="1"/>
    <x v="1"/>
    <x v="2"/>
    <s v="California"/>
    <x v="1"/>
    <x v="1"/>
    <x v="10"/>
    <x v="1"/>
  </r>
  <r>
    <x v="1976"/>
    <x v="13"/>
    <x v="12"/>
    <n v="29.4"/>
    <x v="833"/>
    <d v="2025-03-14T00:00:00"/>
    <x v="72"/>
    <x v="1"/>
    <x v="2"/>
    <x v="2"/>
    <s v="California"/>
    <x v="33"/>
    <x v="3"/>
    <x v="10"/>
    <x v="1"/>
  </r>
  <r>
    <x v="1977"/>
    <x v="8"/>
    <x v="9"/>
    <n v="29.1"/>
    <x v="973"/>
    <d v="2025-03-14T00:00:00"/>
    <x v="80"/>
    <x v="3"/>
    <x v="2"/>
    <x v="1"/>
    <s v="California"/>
    <x v="33"/>
    <x v="9"/>
    <x v="10"/>
    <x v="3"/>
  </r>
  <r>
    <x v="1978"/>
    <x v="8"/>
    <x v="2"/>
    <n v="33.5"/>
    <x v="427"/>
    <d v="2025-03-14T00:00:00"/>
    <x v="81"/>
    <x v="1"/>
    <x v="0"/>
    <x v="2"/>
    <s v="California"/>
    <x v="22"/>
    <x v="13"/>
    <x v="10"/>
    <x v="1"/>
  </r>
  <r>
    <x v="1979"/>
    <x v="4"/>
    <x v="7"/>
    <n v="36"/>
    <x v="1521"/>
    <d v="2025-03-14T00:00:00"/>
    <x v="67"/>
    <x v="1"/>
    <x v="3"/>
    <x v="2"/>
    <s v="California"/>
    <x v="3"/>
    <x v="7"/>
    <x v="10"/>
    <x v="1"/>
  </r>
  <r>
    <x v="1980"/>
    <x v="16"/>
    <x v="2"/>
    <n v="57.3"/>
    <x v="1522"/>
    <d v="2025-03-14T00:00:00"/>
    <x v="73"/>
    <x v="2"/>
    <x v="0"/>
    <x v="2"/>
    <s v="California"/>
    <x v="3"/>
    <x v="5"/>
    <x v="10"/>
    <x v="2"/>
  </r>
  <r>
    <x v="1981"/>
    <x v="1"/>
    <x v="0"/>
    <n v="81.400000000000006"/>
    <x v="1523"/>
    <d v="2025-03-14T00:00:00"/>
    <x v="72"/>
    <x v="2"/>
    <x v="2"/>
    <x v="2"/>
    <s v="California"/>
    <x v="3"/>
    <x v="3"/>
    <x v="10"/>
    <x v="2"/>
  </r>
  <r>
    <x v="1982"/>
    <x v="10"/>
    <x v="1"/>
    <n v="35.299999999999997"/>
    <x v="527"/>
    <d v="2025-03-14T00:00:00"/>
    <x v="73"/>
    <x v="1"/>
    <x v="0"/>
    <x v="2"/>
    <s v="California"/>
    <x v="3"/>
    <x v="5"/>
    <x v="10"/>
    <x v="1"/>
  </r>
  <r>
    <x v="1983"/>
    <x v="3"/>
    <x v="0"/>
    <n v="36.1"/>
    <x v="168"/>
    <d v="2025-03-14T00:00:00"/>
    <x v="72"/>
    <x v="2"/>
    <x v="4"/>
    <x v="0"/>
    <s v="California"/>
    <x v="3"/>
    <x v="3"/>
    <x v="10"/>
    <x v="2"/>
  </r>
  <r>
    <x v="1984"/>
    <x v="1"/>
    <x v="1"/>
    <n v="36.700000000000003"/>
    <x v="1524"/>
    <d v="2025-03-14T00:00:00"/>
    <x v="69"/>
    <x v="2"/>
    <x v="0"/>
    <x v="2"/>
    <s v="California"/>
    <x v="3"/>
    <x v="1"/>
    <x v="10"/>
    <x v="2"/>
  </r>
  <r>
    <x v="1985"/>
    <x v="10"/>
    <x v="0"/>
    <n v="20.9"/>
    <x v="798"/>
    <d v="2025-03-14T00:00:00"/>
    <x v="69"/>
    <x v="2"/>
    <x v="0"/>
    <x v="4"/>
    <s v="California"/>
    <x v="3"/>
    <x v="1"/>
    <x v="10"/>
    <x v="2"/>
  </r>
  <r>
    <x v="1986"/>
    <x v="12"/>
    <x v="2"/>
    <n v="58.8"/>
    <x v="1525"/>
    <d v="2025-03-14T00:00:00"/>
    <x v="73"/>
    <x v="1"/>
    <x v="0"/>
    <x v="2"/>
    <s v="California"/>
    <x v="25"/>
    <x v="5"/>
    <x v="10"/>
    <x v="1"/>
  </r>
  <r>
    <x v="1987"/>
    <x v="2"/>
    <x v="2"/>
    <n v="97.6"/>
    <x v="1526"/>
    <d v="2025-03-15T00:00:00"/>
    <x v="76"/>
    <x v="0"/>
    <x v="0"/>
    <x v="0"/>
    <s v="California"/>
    <x v="6"/>
    <x v="1"/>
    <x v="10"/>
    <x v="0"/>
  </r>
  <r>
    <x v="1988"/>
    <x v="1"/>
    <x v="1"/>
    <n v="58.7"/>
    <x v="1527"/>
    <d v="2025-03-15T00:00:00"/>
    <x v="73"/>
    <x v="2"/>
    <x v="0"/>
    <x v="1"/>
    <s v="California"/>
    <x v="6"/>
    <x v="2"/>
    <x v="10"/>
    <x v="2"/>
  </r>
  <r>
    <x v="1989"/>
    <x v="6"/>
    <x v="9"/>
    <n v="71.900000000000006"/>
    <x v="1528"/>
    <d v="2025-03-15T00:00:00"/>
    <x v="69"/>
    <x v="0"/>
    <x v="0"/>
    <x v="1"/>
    <s v="California"/>
    <x v="6"/>
    <x v="3"/>
    <x v="10"/>
    <x v="0"/>
  </r>
  <r>
    <x v="1990"/>
    <x v="1"/>
    <x v="1"/>
    <n v="62.4"/>
    <x v="1109"/>
    <d v="2025-03-15T00:00:00"/>
    <x v="76"/>
    <x v="0"/>
    <x v="0"/>
    <x v="1"/>
    <s v="California"/>
    <x v="8"/>
    <x v="1"/>
    <x v="10"/>
    <x v="0"/>
  </r>
  <r>
    <x v="1991"/>
    <x v="6"/>
    <x v="27"/>
    <n v="53.8"/>
    <x v="1529"/>
    <d v="2025-03-15T00:00:00"/>
    <x v="69"/>
    <x v="2"/>
    <x v="1"/>
    <x v="0"/>
    <s v="California"/>
    <x v="8"/>
    <x v="3"/>
    <x v="10"/>
    <x v="2"/>
  </r>
  <r>
    <x v="1992"/>
    <x v="9"/>
    <x v="0"/>
    <n v="43.8"/>
    <x v="328"/>
    <d v="2025-03-15T00:00:00"/>
    <x v="80"/>
    <x v="2"/>
    <x v="0"/>
    <x v="2"/>
    <s v="California"/>
    <x v="8"/>
    <x v="6"/>
    <x v="10"/>
    <x v="2"/>
  </r>
  <r>
    <x v="1993"/>
    <x v="5"/>
    <x v="2"/>
    <n v="53.6"/>
    <x v="1530"/>
    <d v="2025-03-15T00:00:00"/>
    <x v="69"/>
    <x v="1"/>
    <x v="3"/>
    <x v="0"/>
    <s v="California"/>
    <x v="8"/>
    <x v="3"/>
    <x v="10"/>
    <x v="1"/>
  </r>
  <r>
    <x v="1994"/>
    <x v="12"/>
    <x v="1"/>
    <n v="84.3"/>
    <x v="1531"/>
    <d v="2025-03-15T00:00:00"/>
    <x v="73"/>
    <x v="1"/>
    <x v="4"/>
    <x v="1"/>
    <s v="California"/>
    <x v="8"/>
    <x v="2"/>
    <x v="10"/>
    <x v="1"/>
  </r>
  <r>
    <x v="1995"/>
    <x v="6"/>
    <x v="11"/>
    <n v="117.9"/>
    <x v="1532"/>
    <d v="2025-03-15T00:00:00"/>
    <x v="69"/>
    <x v="2"/>
    <x v="1"/>
    <x v="2"/>
    <s v="California"/>
    <x v="8"/>
    <x v="3"/>
    <x v="10"/>
    <x v="2"/>
  </r>
  <r>
    <x v="1996"/>
    <x v="4"/>
    <x v="8"/>
    <n v="30"/>
    <x v="1533"/>
    <d v="2025-03-15T00:00:00"/>
    <x v="69"/>
    <x v="2"/>
    <x v="1"/>
    <x v="0"/>
    <s v="California"/>
    <x v="26"/>
    <x v="3"/>
    <x v="10"/>
    <x v="2"/>
  </r>
  <r>
    <x v="1997"/>
    <x v="14"/>
    <x v="2"/>
    <n v="37.299999999999997"/>
    <x v="1534"/>
    <d v="2025-03-15T00:00:00"/>
    <x v="69"/>
    <x v="1"/>
    <x v="2"/>
    <x v="0"/>
    <s v="California"/>
    <x v="9"/>
    <x v="3"/>
    <x v="10"/>
    <x v="1"/>
  </r>
  <r>
    <x v="1998"/>
    <x v="4"/>
    <x v="11"/>
    <n v="25.1"/>
    <x v="1535"/>
    <d v="2025-03-15T00:00:00"/>
    <x v="76"/>
    <x v="1"/>
    <x v="1"/>
    <x v="2"/>
    <s v="California"/>
    <x v="11"/>
    <x v="1"/>
    <x v="10"/>
    <x v="1"/>
  </r>
  <r>
    <x v="1999"/>
    <x v="8"/>
    <x v="5"/>
    <n v="36"/>
    <x v="501"/>
    <d v="2025-03-15T00:00:00"/>
    <x v="82"/>
    <x v="1"/>
    <x v="1"/>
    <x v="0"/>
    <s v="California"/>
    <x v="18"/>
    <x v="14"/>
    <x v="10"/>
    <x v="1"/>
  </r>
  <r>
    <x v="2000"/>
    <x v="16"/>
    <x v="2"/>
    <n v="48.5"/>
    <x v="973"/>
    <d v="2025-03-15T00:00:00"/>
    <x v="83"/>
    <x v="2"/>
    <x v="1"/>
    <x v="0"/>
    <s v="California"/>
    <x v="19"/>
    <x v="5"/>
    <x v="10"/>
    <x v="2"/>
  </r>
  <r>
    <x v="2001"/>
    <x v="17"/>
    <x v="13"/>
    <n v="21.1"/>
    <x v="1077"/>
    <d v="2025-03-15T00:00:00"/>
    <x v="69"/>
    <x v="1"/>
    <x v="1"/>
    <x v="2"/>
    <s v="California"/>
    <x v="21"/>
    <x v="3"/>
    <x v="10"/>
    <x v="1"/>
  </r>
  <r>
    <x v="2002"/>
    <x v="15"/>
    <x v="21"/>
    <n v="43.2"/>
    <x v="1536"/>
    <d v="2025-03-15T00:00:00"/>
    <x v="69"/>
    <x v="3"/>
    <x v="0"/>
    <x v="1"/>
    <s v="California"/>
    <x v="21"/>
    <x v="3"/>
    <x v="10"/>
    <x v="3"/>
  </r>
  <r>
    <x v="2003"/>
    <x v="9"/>
    <x v="1"/>
    <n v="21.1"/>
    <x v="1283"/>
    <d v="2025-03-15T00:00:00"/>
    <x v="69"/>
    <x v="0"/>
    <x v="3"/>
    <x v="1"/>
    <s v="California"/>
    <x v="21"/>
    <x v="3"/>
    <x v="10"/>
    <x v="0"/>
  </r>
  <r>
    <x v="2004"/>
    <x v="6"/>
    <x v="12"/>
    <n v="41.3"/>
    <x v="1537"/>
    <d v="2025-03-15T00:00:00"/>
    <x v="76"/>
    <x v="2"/>
    <x v="3"/>
    <x v="2"/>
    <s v="California"/>
    <x v="1"/>
    <x v="1"/>
    <x v="10"/>
    <x v="2"/>
  </r>
  <r>
    <x v="2005"/>
    <x v="8"/>
    <x v="1"/>
    <n v="15.3"/>
    <x v="1538"/>
    <d v="2025-03-15T00:00:00"/>
    <x v="73"/>
    <x v="0"/>
    <x v="2"/>
    <x v="2"/>
    <s v="California"/>
    <x v="1"/>
    <x v="2"/>
    <x v="10"/>
    <x v="0"/>
  </r>
  <r>
    <x v="2006"/>
    <x v="1"/>
    <x v="0"/>
    <n v="54.6"/>
    <x v="1539"/>
    <d v="2025-03-15T00:00:00"/>
    <x v="76"/>
    <x v="1"/>
    <x v="1"/>
    <x v="1"/>
    <s v="California"/>
    <x v="2"/>
    <x v="1"/>
    <x v="10"/>
    <x v="1"/>
  </r>
  <r>
    <x v="2007"/>
    <x v="8"/>
    <x v="0"/>
    <n v="15.9"/>
    <x v="1021"/>
    <d v="2025-03-15T00:00:00"/>
    <x v="69"/>
    <x v="1"/>
    <x v="0"/>
    <x v="1"/>
    <s v="California"/>
    <x v="22"/>
    <x v="3"/>
    <x v="10"/>
    <x v="1"/>
  </r>
  <r>
    <x v="2008"/>
    <x v="9"/>
    <x v="0"/>
    <n v="50.2"/>
    <x v="486"/>
    <d v="2025-03-15T00:00:00"/>
    <x v="76"/>
    <x v="2"/>
    <x v="3"/>
    <x v="2"/>
    <s v="California"/>
    <x v="34"/>
    <x v="1"/>
    <x v="10"/>
    <x v="2"/>
  </r>
  <r>
    <x v="2009"/>
    <x v="11"/>
    <x v="12"/>
    <n v="85.1"/>
    <x v="1540"/>
    <d v="2025-03-15T00:00:00"/>
    <x v="69"/>
    <x v="2"/>
    <x v="3"/>
    <x v="4"/>
    <s v="California"/>
    <x v="34"/>
    <x v="3"/>
    <x v="10"/>
    <x v="2"/>
  </r>
  <r>
    <x v="2010"/>
    <x v="11"/>
    <x v="1"/>
    <n v="41.4"/>
    <x v="1182"/>
    <d v="2025-03-15T00:00:00"/>
    <x v="69"/>
    <x v="2"/>
    <x v="0"/>
    <x v="2"/>
    <s v="California"/>
    <x v="3"/>
    <x v="3"/>
    <x v="10"/>
    <x v="2"/>
  </r>
  <r>
    <x v="2011"/>
    <x v="4"/>
    <x v="3"/>
    <n v="32.700000000000003"/>
    <x v="1541"/>
    <d v="2025-03-15T00:00:00"/>
    <x v="69"/>
    <x v="2"/>
    <x v="2"/>
    <x v="1"/>
    <s v="California"/>
    <x v="3"/>
    <x v="3"/>
    <x v="10"/>
    <x v="2"/>
  </r>
  <r>
    <x v="2012"/>
    <x v="4"/>
    <x v="1"/>
    <n v="41.6"/>
    <x v="707"/>
    <d v="2025-03-15T00:00:00"/>
    <x v="76"/>
    <x v="1"/>
    <x v="4"/>
    <x v="1"/>
    <s v="California"/>
    <x v="3"/>
    <x v="1"/>
    <x v="10"/>
    <x v="1"/>
  </r>
  <r>
    <x v="2013"/>
    <x v="5"/>
    <x v="12"/>
    <n v="64.8"/>
    <x v="629"/>
    <d v="2025-03-15T00:00:00"/>
    <x v="69"/>
    <x v="0"/>
    <x v="2"/>
    <x v="0"/>
    <s v="California"/>
    <x v="3"/>
    <x v="3"/>
    <x v="10"/>
    <x v="0"/>
  </r>
  <r>
    <x v="2014"/>
    <x v="15"/>
    <x v="1"/>
    <n v="33.6"/>
    <x v="863"/>
    <d v="2025-03-15T00:00:00"/>
    <x v="69"/>
    <x v="1"/>
    <x v="0"/>
    <x v="2"/>
    <s v="California"/>
    <x v="3"/>
    <x v="3"/>
    <x v="10"/>
    <x v="1"/>
  </r>
  <r>
    <x v="2015"/>
    <x v="6"/>
    <x v="2"/>
    <n v="100.7"/>
    <x v="1542"/>
    <d v="2025-03-15T00:00:00"/>
    <x v="69"/>
    <x v="0"/>
    <x v="1"/>
    <x v="0"/>
    <s v="California"/>
    <x v="3"/>
    <x v="3"/>
    <x v="10"/>
    <x v="0"/>
  </r>
  <r>
    <x v="2016"/>
    <x v="4"/>
    <x v="1"/>
    <n v="49.3"/>
    <x v="1543"/>
    <d v="2025-03-16T00:00:00"/>
    <x v="73"/>
    <x v="2"/>
    <x v="4"/>
    <x v="2"/>
    <s v="California"/>
    <x v="3"/>
    <x v="1"/>
    <x v="11"/>
    <x v="2"/>
  </r>
  <r>
    <x v="2017"/>
    <x v="2"/>
    <x v="13"/>
    <n v="97"/>
    <x v="1544"/>
    <d v="2025-03-16T00:00:00"/>
    <x v="83"/>
    <x v="1"/>
    <x v="2"/>
    <x v="2"/>
    <s v="California"/>
    <x v="3"/>
    <x v="2"/>
    <x v="11"/>
    <x v="1"/>
  </r>
  <r>
    <x v="2018"/>
    <x v="0"/>
    <x v="13"/>
    <n v="25.2"/>
    <x v="277"/>
    <d v="2025-03-16T00:00:00"/>
    <x v="83"/>
    <x v="2"/>
    <x v="4"/>
    <x v="2"/>
    <s v="California"/>
    <x v="3"/>
    <x v="2"/>
    <x v="11"/>
    <x v="2"/>
  </r>
  <r>
    <x v="2019"/>
    <x v="0"/>
    <x v="5"/>
    <n v="12.2"/>
    <x v="1545"/>
    <d v="2025-03-16T00:00:00"/>
    <x v="76"/>
    <x v="0"/>
    <x v="0"/>
    <x v="1"/>
    <s v="California"/>
    <x v="3"/>
    <x v="3"/>
    <x v="11"/>
    <x v="0"/>
  </r>
  <r>
    <x v="2020"/>
    <x v="8"/>
    <x v="3"/>
    <n v="38.799999999999997"/>
    <x v="1546"/>
    <d v="2025-03-16T00:00:00"/>
    <x v="73"/>
    <x v="2"/>
    <x v="1"/>
    <x v="1"/>
    <s v="California"/>
    <x v="23"/>
    <x v="1"/>
    <x v="11"/>
    <x v="2"/>
  </r>
  <r>
    <x v="2021"/>
    <x v="2"/>
    <x v="12"/>
    <n v="53.2"/>
    <x v="1547"/>
    <d v="2025-03-16T00:00:00"/>
    <x v="76"/>
    <x v="1"/>
    <x v="0"/>
    <x v="2"/>
    <s v="California"/>
    <x v="8"/>
    <x v="3"/>
    <x v="11"/>
    <x v="1"/>
  </r>
  <r>
    <x v="2022"/>
    <x v="6"/>
    <x v="3"/>
    <n v="151"/>
    <x v="1548"/>
    <d v="2025-03-16T00:00:00"/>
    <x v="76"/>
    <x v="3"/>
    <x v="1"/>
    <x v="1"/>
    <s v="California"/>
    <x v="8"/>
    <x v="3"/>
    <x v="11"/>
    <x v="3"/>
  </r>
  <r>
    <x v="2023"/>
    <x v="1"/>
    <x v="1"/>
    <n v="37.1"/>
    <x v="1314"/>
    <d v="2025-03-16T00:00:00"/>
    <x v="76"/>
    <x v="2"/>
    <x v="4"/>
    <x v="0"/>
    <s v="California"/>
    <x v="8"/>
    <x v="3"/>
    <x v="11"/>
    <x v="2"/>
  </r>
  <r>
    <x v="2024"/>
    <x v="5"/>
    <x v="1"/>
    <n v="38.9"/>
    <x v="482"/>
    <d v="2025-03-16T00:00:00"/>
    <x v="76"/>
    <x v="1"/>
    <x v="4"/>
    <x v="0"/>
    <s v="California"/>
    <x v="8"/>
    <x v="3"/>
    <x v="11"/>
    <x v="1"/>
  </r>
  <r>
    <x v="2025"/>
    <x v="10"/>
    <x v="1"/>
    <n v="35.200000000000003"/>
    <x v="1549"/>
    <d v="2025-03-16T00:00:00"/>
    <x v="76"/>
    <x v="1"/>
    <x v="0"/>
    <x v="2"/>
    <s v="California"/>
    <x v="17"/>
    <x v="3"/>
    <x v="11"/>
    <x v="1"/>
  </r>
  <r>
    <x v="2026"/>
    <x v="0"/>
    <x v="1"/>
    <n v="22.3"/>
    <x v="225"/>
    <d v="2025-03-16T00:00:00"/>
    <x v="73"/>
    <x v="2"/>
    <x v="1"/>
    <x v="0"/>
    <s v="California"/>
    <x v="9"/>
    <x v="1"/>
    <x v="11"/>
    <x v="2"/>
  </r>
  <r>
    <x v="2027"/>
    <x v="9"/>
    <x v="0"/>
    <n v="43.3"/>
    <x v="1286"/>
    <d v="2025-03-16T00:00:00"/>
    <x v="83"/>
    <x v="2"/>
    <x v="0"/>
    <x v="2"/>
    <s v="California"/>
    <x v="11"/>
    <x v="2"/>
    <x v="11"/>
    <x v="2"/>
  </r>
  <r>
    <x v="2028"/>
    <x v="6"/>
    <x v="13"/>
    <n v="75.900000000000006"/>
    <x v="1550"/>
    <d v="2025-03-16T00:00:00"/>
    <x v="80"/>
    <x v="1"/>
    <x v="0"/>
    <x v="0"/>
    <s v="California"/>
    <x v="11"/>
    <x v="4"/>
    <x v="11"/>
    <x v="1"/>
  </r>
  <r>
    <x v="2029"/>
    <x v="6"/>
    <x v="2"/>
    <n v="78.7"/>
    <x v="1551"/>
    <d v="2025-03-16T00:00:00"/>
    <x v="78"/>
    <x v="2"/>
    <x v="2"/>
    <x v="1"/>
    <s v="California"/>
    <x v="11"/>
    <x v="5"/>
    <x v="11"/>
    <x v="2"/>
  </r>
  <r>
    <x v="2030"/>
    <x v="1"/>
    <x v="0"/>
    <n v="66.3"/>
    <x v="1124"/>
    <d v="2025-03-16T00:00:00"/>
    <x v="78"/>
    <x v="2"/>
    <x v="0"/>
    <x v="2"/>
    <s v="California"/>
    <x v="19"/>
    <x v="5"/>
    <x v="11"/>
    <x v="2"/>
  </r>
  <r>
    <x v="2031"/>
    <x v="8"/>
    <x v="1"/>
    <n v="33.6"/>
    <x v="863"/>
    <d v="2025-03-16T00:00:00"/>
    <x v="69"/>
    <x v="1"/>
    <x v="0"/>
    <x v="1"/>
    <s v="California"/>
    <x v="19"/>
    <x v="7"/>
    <x v="11"/>
    <x v="1"/>
  </r>
  <r>
    <x v="2032"/>
    <x v="2"/>
    <x v="3"/>
    <n v="61.4"/>
    <x v="1552"/>
    <d v="2025-03-16T00:00:00"/>
    <x v="76"/>
    <x v="1"/>
    <x v="4"/>
    <x v="0"/>
    <s v="California"/>
    <x v="19"/>
    <x v="3"/>
    <x v="11"/>
    <x v="1"/>
  </r>
  <r>
    <x v="2033"/>
    <x v="8"/>
    <x v="1"/>
    <n v="17.5"/>
    <x v="1553"/>
    <d v="2025-03-16T00:00:00"/>
    <x v="83"/>
    <x v="2"/>
    <x v="0"/>
    <x v="0"/>
    <s v="California"/>
    <x v="21"/>
    <x v="2"/>
    <x v="11"/>
    <x v="2"/>
  </r>
  <r>
    <x v="2034"/>
    <x v="8"/>
    <x v="1"/>
    <n v="32.5"/>
    <x v="891"/>
    <d v="2025-03-16T00:00:00"/>
    <x v="83"/>
    <x v="2"/>
    <x v="1"/>
    <x v="0"/>
    <s v="California"/>
    <x v="21"/>
    <x v="2"/>
    <x v="11"/>
    <x v="2"/>
  </r>
  <r>
    <x v="2035"/>
    <x v="4"/>
    <x v="0"/>
    <n v="34.6"/>
    <x v="169"/>
    <d v="2025-03-16T00:00:00"/>
    <x v="76"/>
    <x v="2"/>
    <x v="4"/>
    <x v="0"/>
    <s v="California"/>
    <x v="21"/>
    <x v="3"/>
    <x v="11"/>
    <x v="2"/>
  </r>
  <r>
    <x v="2036"/>
    <x v="2"/>
    <x v="0"/>
    <n v="75.900000000000006"/>
    <x v="1554"/>
    <d v="2025-03-16T00:00:00"/>
    <x v="69"/>
    <x v="1"/>
    <x v="1"/>
    <x v="2"/>
    <s v="California"/>
    <x v="21"/>
    <x v="7"/>
    <x v="11"/>
    <x v="1"/>
  </r>
  <r>
    <x v="2037"/>
    <x v="1"/>
    <x v="2"/>
    <n v="42.1"/>
    <x v="1555"/>
    <d v="2025-03-16T00:00:00"/>
    <x v="83"/>
    <x v="1"/>
    <x v="1"/>
    <x v="1"/>
    <s v="California"/>
    <x v="21"/>
    <x v="2"/>
    <x v="11"/>
    <x v="1"/>
  </r>
  <r>
    <x v="2038"/>
    <x v="7"/>
    <x v="2"/>
    <n v="65.3"/>
    <x v="243"/>
    <d v="2025-03-16T00:00:00"/>
    <x v="79"/>
    <x v="1"/>
    <x v="0"/>
    <x v="0"/>
    <s v="California"/>
    <x v="1"/>
    <x v="6"/>
    <x v="11"/>
    <x v="1"/>
  </r>
  <r>
    <x v="2039"/>
    <x v="15"/>
    <x v="0"/>
    <n v="20.6"/>
    <x v="1500"/>
    <d v="2025-03-16T00:00:00"/>
    <x v="83"/>
    <x v="1"/>
    <x v="3"/>
    <x v="0"/>
    <s v="California"/>
    <x v="42"/>
    <x v="2"/>
    <x v="11"/>
    <x v="1"/>
  </r>
  <r>
    <x v="2040"/>
    <x v="8"/>
    <x v="3"/>
    <n v="16.5"/>
    <x v="100"/>
    <d v="2025-03-16T00:00:00"/>
    <x v="76"/>
    <x v="1"/>
    <x v="1"/>
    <x v="1"/>
    <s v="California"/>
    <x v="2"/>
    <x v="3"/>
    <x v="11"/>
    <x v="1"/>
  </r>
  <r>
    <x v="2041"/>
    <x v="16"/>
    <x v="7"/>
    <n v="36.200000000000003"/>
    <x v="1556"/>
    <d v="2025-03-16T00:00:00"/>
    <x v="73"/>
    <x v="1"/>
    <x v="0"/>
    <x v="2"/>
    <s v="California"/>
    <x v="2"/>
    <x v="1"/>
    <x v="11"/>
    <x v="1"/>
  </r>
  <r>
    <x v="2042"/>
    <x v="6"/>
    <x v="0"/>
    <n v="53.2"/>
    <x v="1557"/>
    <d v="2025-03-16T00:00:00"/>
    <x v="76"/>
    <x v="2"/>
    <x v="0"/>
    <x v="1"/>
    <s v="California"/>
    <x v="22"/>
    <x v="3"/>
    <x v="11"/>
    <x v="2"/>
  </r>
  <r>
    <x v="2043"/>
    <x v="2"/>
    <x v="21"/>
    <n v="176"/>
    <x v="1558"/>
    <d v="2025-03-16T00:00:00"/>
    <x v="76"/>
    <x v="2"/>
    <x v="0"/>
    <x v="1"/>
    <s v="California"/>
    <x v="3"/>
    <x v="3"/>
    <x v="11"/>
    <x v="2"/>
  </r>
  <r>
    <x v="2044"/>
    <x v="1"/>
    <x v="0"/>
    <n v="52.4"/>
    <x v="1559"/>
    <d v="2025-03-16T00:00:00"/>
    <x v="76"/>
    <x v="1"/>
    <x v="1"/>
    <x v="0"/>
    <s v="California"/>
    <x v="3"/>
    <x v="3"/>
    <x v="11"/>
    <x v="1"/>
  </r>
  <r>
    <x v="2045"/>
    <x v="10"/>
    <x v="2"/>
    <n v="48.2"/>
    <x v="1435"/>
    <d v="2025-03-16T00:00:00"/>
    <x v="76"/>
    <x v="2"/>
    <x v="1"/>
    <x v="2"/>
    <s v="California"/>
    <x v="3"/>
    <x v="3"/>
    <x v="11"/>
    <x v="2"/>
  </r>
  <r>
    <x v="2046"/>
    <x v="15"/>
    <x v="0"/>
    <n v="51.6"/>
    <x v="937"/>
    <d v="2025-03-16T00:00:00"/>
    <x v="78"/>
    <x v="2"/>
    <x v="2"/>
    <x v="1"/>
    <s v="California"/>
    <x v="3"/>
    <x v="5"/>
    <x v="11"/>
    <x v="2"/>
  </r>
  <r>
    <x v="2047"/>
    <x v="0"/>
    <x v="12"/>
    <n v="33.700000000000003"/>
    <x v="1093"/>
    <d v="2025-03-17T00:00:00"/>
    <x v="73"/>
    <x v="1"/>
    <x v="0"/>
    <x v="0"/>
    <s v="California"/>
    <x v="3"/>
    <x v="3"/>
    <x v="11"/>
    <x v="1"/>
  </r>
  <r>
    <x v="2048"/>
    <x v="4"/>
    <x v="7"/>
    <n v="36.299999999999997"/>
    <x v="1560"/>
    <d v="2025-03-17T00:00:00"/>
    <x v="83"/>
    <x v="2"/>
    <x v="4"/>
    <x v="1"/>
    <s v="California"/>
    <x v="3"/>
    <x v="1"/>
    <x v="11"/>
    <x v="2"/>
  </r>
  <r>
    <x v="2049"/>
    <x v="8"/>
    <x v="0"/>
    <n v="23.4"/>
    <x v="1561"/>
    <d v="2025-03-17T00:00:00"/>
    <x v="80"/>
    <x v="2"/>
    <x v="1"/>
    <x v="2"/>
    <s v="California"/>
    <x v="3"/>
    <x v="0"/>
    <x v="11"/>
    <x v="2"/>
  </r>
  <r>
    <x v="2050"/>
    <x v="15"/>
    <x v="8"/>
    <n v="56.6"/>
    <x v="1562"/>
    <d v="2025-03-17T00:00:00"/>
    <x v="83"/>
    <x v="2"/>
    <x v="1"/>
    <x v="0"/>
    <s v="California"/>
    <x v="3"/>
    <x v="1"/>
    <x v="11"/>
    <x v="2"/>
  </r>
  <r>
    <x v="2051"/>
    <x v="15"/>
    <x v="1"/>
    <n v="26.8"/>
    <x v="1563"/>
    <d v="2025-03-17T00:00:00"/>
    <x v="73"/>
    <x v="1"/>
    <x v="0"/>
    <x v="0"/>
    <s v="California"/>
    <x v="4"/>
    <x v="3"/>
    <x v="11"/>
    <x v="1"/>
  </r>
  <r>
    <x v="2052"/>
    <x v="0"/>
    <x v="2"/>
    <n v="11.3"/>
    <x v="1564"/>
    <d v="2025-03-17T00:00:00"/>
    <x v="83"/>
    <x v="1"/>
    <x v="2"/>
    <x v="0"/>
    <s v="California"/>
    <x v="25"/>
    <x v="1"/>
    <x v="11"/>
    <x v="1"/>
  </r>
  <r>
    <x v="2053"/>
    <x v="6"/>
    <x v="2"/>
    <n v="60.1"/>
    <x v="1565"/>
    <d v="2025-03-17T00:00:00"/>
    <x v="78"/>
    <x v="2"/>
    <x v="0"/>
    <x v="0"/>
    <s v="California"/>
    <x v="7"/>
    <x v="2"/>
    <x v="11"/>
    <x v="2"/>
  </r>
  <r>
    <x v="2054"/>
    <x v="0"/>
    <x v="5"/>
    <n v="27.7"/>
    <x v="1566"/>
    <d v="2025-03-17T00:00:00"/>
    <x v="80"/>
    <x v="2"/>
    <x v="0"/>
    <x v="0"/>
    <s v="California"/>
    <x v="8"/>
    <x v="0"/>
    <x v="11"/>
    <x v="2"/>
  </r>
  <r>
    <x v="2055"/>
    <x v="15"/>
    <x v="0"/>
    <n v="71.400000000000006"/>
    <x v="660"/>
    <d v="2025-03-17T00:00:00"/>
    <x v="78"/>
    <x v="1"/>
    <x v="0"/>
    <x v="2"/>
    <s v="California"/>
    <x v="8"/>
    <x v="2"/>
    <x v="11"/>
    <x v="1"/>
  </r>
  <r>
    <x v="2056"/>
    <x v="2"/>
    <x v="1"/>
    <n v="66.7"/>
    <x v="1567"/>
    <d v="2025-03-17T00:00:00"/>
    <x v="73"/>
    <x v="2"/>
    <x v="0"/>
    <x v="2"/>
    <s v="California"/>
    <x v="8"/>
    <x v="3"/>
    <x v="11"/>
    <x v="2"/>
  </r>
  <r>
    <x v="2057"/>
    <x v="13"/>
    <x v="9"/>
    <n v="39.1"/>
    <x v="1568"/>
    <d v="2025-03-17T00:00:00"/>
    <x v="73"/>
    <x v="2"/>
    <x v="0"/>
    <x v="0"/>
    <s v="California"/>
    <x v="8"/>
    <x v="3"/>
    <x v="11"/>
    <x v="2"/>
  </r>
  <r>
    <x v="2058"/>
    <x v="8"/>
    <x v="12"/>
    <n v="24.9"/>
    <x v="1569"/>
    <d v="2025-03-17T00:00:00"/>
    <x v="80"/>
    <x v="1"/>
    <x v="1"/>
    <x v="2"/>
    <s v="California"/>
    <x v="8"/>
    <x v="0"/>
    <x v="11"/>
    <x v="1"/>
  </r>
  <r>
    <x v="2059"/>
    <x v="5"/>
    <x v="9"/>
    <n v="29.2"/>
    <x v="1570"/>
    <d v="2025-03-17T00:00:00"/>
    <x v="73"/>
    <x v="1"/>
    <x v="0"/>
    <x v="2"/>
    <s v="California"/>
    <x v="17"/>
    <x v="3"/>
    <x v="11"/>
    <x v="1"/>
  </r>
  <r>
    <x v="2060"/>
    <x v="13"/>
    <x v="21"/>
    <n v="28.3"/>
    <x v="1571"/>
    <d v="2025-03-17T00:00:00"/>
    <x v="83"/>
    <x v="2"/>
    <x v="1"/>
    <x v="0"/>
    <s v="California"/>
    <x v="11"/>
    <x v="1"/>
    <x v="11"/>
    <x v="2"/>
  </r>
  <r>
    <x v="2061"/>
    <x v="9"/>
    <x v="2"/>
    <n v="37.799999999999997"/>
    <x v="1413"/>
    <d v="2025-03-17T00:00:00"/>
    <x v="73"/>
    <x v="2"/>
    <x v="0"/>
    <x v="1"/>
    <s v="California"/>
    <x v="11"/>
    <x v="3"/>
    <x v="11"/>
    <x v="2"/>
  </r>
  <r>
    <x v="2062"/>
    <x v="14"/>
    <x v="3"/>
    <n v="28.1"/>
    <x v="1572"/>
    <d v="2025-03-17T00:00:00"/>
    <x v="79"/>
    <x v="2"/>
    <x v="2"/>
    <x v="0"/>
    <s v="California"/>
    <x v="11"/>
    <x v="4"/>
    <x v="11"/>
    <x v="2"/>
  </r>
  <r>
    <x v="2063"/>
    <x v="1"/>
    <x v="2"/>
    <n v="59.7"/>
    <x v="1573"/>
    <d v="2025-03-17T00:00:00"/>
    <x v="83"/>
    <x v="2"/>
    <x v="2"/>
    <x v="0"/>
    <s v="California"/>
    <x v="11"/>
    <x v="1"/>
    <x v="11"/>
    <x v="2"/>
  </r>
  <r>
    <x v="2064"/>
    <x v="16"/>
    <x v="0"/>
    <n v="71.900000000000006"/>
    <x v="1574"/>
    <d v="2025-03-17T00:00:00"/>
    <x v="73"/>
    <x v="1"/>
    <x v="1"/>
    <x v="1"/>
    <s v="California"/>
    <x v="11"/>
    <x v="3"/>
    <x v="11"/>
    <x v="1"/>
  </r>
  <r>
    <x v="2065"/>
    <x v="1"/>
    <x v="1"/>
    <n v="56.9"/>
    <x v="1575"/>
    <d v="2025-03-17T00:00:00"/>
    <x v="73"/>
    <x v="1"/>
    <x v="2"/>
    <x v="0"/>
    <s v="California"/>
    <x v="13"/>
    <x v="3"/>
    <x v="11"/>
    <x v="1"/>
  </r>
  <r>
    <x v="2066"/>
    <x v="8"/>
    <x v="1"/>
    <n v="15.8"/>
    <x v="35"/>
    <d v="2025-03-17T00:00:00"/>
    <x v="78"/>
    <x v="2"/>
    <x v="2"/>
    <x v="1"/>
    <s v="California"/>
    <x v="1"/>
    <x v="2"/>
    <x v="11"/>
    <x v="2"/>
  </r>
  <r>
    <x v="2067"/>
    <x v="11"/>
    <x v="12"/>
    <n v="61.7"/>
    <x v="1576"/>
    <d v="2025-03-17T00:00:00"/>
    <x v="83"/>
    <x v="2"/>
    <x v="2"/>
    <x v="0"/>
    <s v="California"/>
    <x v="22"/>
    <x v="1"/>
    <x v="11"/>
    <x v="2"/>
  </r>
  <r>
    <x v="2068"/>
    <x v="2"/>
    <x v="7"/>
    <n v="105.2"/>
    <x v="1577"/>
    <d v="2025-03-17T00:00:00"/>
    <x v="83"/>
    <x v="1"/>
    <x v="1"/>
    <x v="4"/>
    <s v="California"/>
    <x v="3"/>
    <x v="1"/>
    <x v="11"/>
    <x v="1"/>
  </r>
  <r>
    <x v="2069"/>
    <x v="0"/>
    <x v="1"/>
    <n v="17"/>
    <x v="1222"/>
    <d v="2025-03-17T00:00:00"/>
    <x v="83"/>
    <x v="2"/>
    <x v="2"/>
    <x v="0"/>
    <s v="California"/>
    <x v="3"/>
    <x v="1"/>
    <x v="11"/>
    <x v="2"/>
  </r>
  <r>
    <x v="2070"/>
    <x v="6"/>
    <x v="2"/>
    <n v="84.1"/>
    <x v="1578"/>
    <d v="2025-03-17T00:00:00"/>
    <x v="73"/>
    <x v="1"/>
    <x v="2"/>
    <x v="0"/>
    <s v="California"/>
    <x v="3"/>
    <x v="3"/>
    <x v="11"/>
    <x v="1"/>
  </r>
  <r>
    <x v="2071"/>
    <x v="3"/>
    <x v="12"/>
    <n v="59.5"/>
    <x v="1248"/>
    <d v="2025-03-17T00:00:00"/>
    <x v="80"/>
    <x v="1"/>
    <x v="0"/>
    <x v="2"/>
    <s v="California"/>
    <x v="3"/>
    <x v="0"/>
    <x v="11"/>
    <x v="1"/>
  </r>
  <r>
    <x v="2072"/>
    <x v="8"/>
    <x v="1"/>
    <n v="57.5"/>
    <x v="1579"/>
    <d v="2025-03-17T00:00:00"/>
    <x v="83"/>
    <x v="1"/>
    <x v="1"/>
    <x v="2"/>
    <s v="California"/>
    <x v="3"/>
    <x v="1"/>
    <x v="11"/>
    <x v="1"/>
  </r>
  <r>
    <x v="2073"/>
    <x v="8"/>
    <x v="0"/>
    <n v="34.299999999999997"/>
    <x v="1580"/>
    <d v="2025-03-17T00:00:00"/>
    <x v="73"/>
    <x v="2"/>
    <x v="4"/>
    <x v="2"/>
    <s v="California"/>
    <x v="3"/>
    <x v="3"/>
    <x v="11"/>
    <x v="2"/>
  </r>
  <r>
    <x v="2074"/>
    <x v="5"/>
    <x v="1"/>
    <n v="27.8"/>
    <x v="1581"/>
    <d v="2025-03-18T00:00:00"/>
    <x v="78"/>
    <x v="2"/>
    <x v="0"/>
    <x v="0"/>
    <s v="California"/>
    <x v="3"/>
    <x v="1"/>
    <x v="11"/>
    <x v="2"/>
  </r>
  <r>
    <x v="2075"/>
    <x v="12"/>
    <x v="1"/>
    <n v="85"/>
    <x v="393"/>
    <d v="2025-03-18T00:00:00"/>
    <x v="73"/>
    <x v="1"/>
    <x v="2"/>
    <x v="2"/>
    <s v="California"/>
    <x v="3"/>
    <x v="7"/>
    <x v="11"/>
    <x v="1"/>
  </r>
  <r>
    <x v="2076"/>
    <x v="6"/>
    <x v="1"/>
    <n v="95"/>
    <x v="1582"/>
    <d v="2025-03-18T00:00:00"/>
    <x v="78"/>
    <x v="2"/>
    <x v="0"/>
    <x v="0"/>
    <s v="California"/>
    <x v="3"/>
    <x v="1"/>
    <x v="11"/>
    <x v="2"/>
  </r>
  <r>
    <x v="2077"/>
    <x v="16"/>
    <x v="1"/>
    <n v="32"/>
    <x v="34"/>
    <d v="2025-03-18T00:00:00"/>
    <x v="78"/>
    <x v="1"/>
    <x v="0"/>
    <x v="1"/>
    <s v="California"/>
    <x v="3"/>
    <x v="1"/>
    <x v="11"/>
    <x v="1"/>
  </r>
  <r>
    <x v="2078"/>
    <x v="2"/>
    <x v="1"/>
    <n v="65.2"/>
    <x v="1583"/>
    <d v="2025-03-18T00:00:00"/>
    <x v="83"/>
    <x v="2"/>
    <x v="1"/>
    <x v="0"/>
    <s v="California"/>
    <x v="3"/>
    <x v="3"/>
    <x v="11"/>
    <x v="2"/>
  </r>
  <r>
    <x v="2079"/>
    <x v="17"/>
    <x v="12"/>
    <n v="22"/>
    <x v="1155"/>
    <d v="2025-03-18T00:00:00"/>
    <x v="83"/>
    <x v="1"/>
    <x v="1"/>
    <x v="2"/>
    <s v="California"/>
    <x v="3"/>
    <x v="3"/>
    <x v="11"/>
    <x v="1"/>
  </r>
  <r>
    <x v="2080"/>
    <x v="15"/>
    <x v="2"/>
    <n v="69.400000000000006"/>
    <x v="140"/>
    <d v="2025-03-18T00:00:00"/>
    <x v="75"/>
    <x v="1"/>
    <x v="1"/>
    <x v="2"/>
    <s v="California"/>
    <x v="3"/>
    <x v="2"/>
    <x v="11"/>
    <x v="1"/>
  </r>
  <r>
    <x v="2081"/>
    <x v="10"/>
    <x v="13"/>
    <n v="31.5"/>
    <x v="620"/>
    <d v="2025-03-18T00:00:00"/>
    <x v="78"/>
    <x v="2"/>
    <x v="0"/>
    <x v="2"/>
    <s v="California"/>
    <x v="3"/>
    <x v="1"/>
    <x v="11"/>
    <x v="2"/>
  </r>
  <r>
    <x v="2082"/>
    <x v="6"/>
    <x v="0"/>
    <n v="45.8"/>
    <x v="494"/>
    <d v="2025-03-18T00:00:00"/>
    <x v="80"/>
    <x v="3"/>
    <x v="0"/>
    <x v="0"/>
    <s v="California"/>
    <x v="3"/>
    <x v="5"/>
    <x v="11"/>
    <x v="3"/>
  </r>
  <r>
    <x v="2083"/>
    <x v="19"/>
    <x v="12"/>
    <n v="12.8"/>
    <x v="180"/>
    <d v="2025-03-18T00:00:00"/>
    <x v="82"/>
    <x v="2"/>
    <x v="1"/>
    <x v="1"/>
    <s v="California"/>
    <x v="5"/>
    <x v="6"/>
    <x v="11"/>
    <x v="2"/>
  </r>
  <r>
    <x v="2084"/>
    <x v="5"/>
    <x v="2"/>
    <n v="115.3"/>
    <x v="1584"/>
    <d v="2025-03-18T00:00:00"/>
    <x v="83"/>
    <x v="2"/>
    <x v="2"/>
    <x v="2"/>
    <s v="California"/>
    <x v="6"/>
    <x v="3"/>
    <x v="11"/>
    <x v="2"/>
  </r>
  <r>
    <x v="2085"/>
    <x v="5"/>
    <x v="1"/>
    <n v="85"/>
    <x v="393"/>
    <d v="2025-03-18T00:00:00"/>
    <x v="78"/>
    <x v="2"/>
    <x v="1"/>
    <x v="0"/>
    <s v="California"/>
    <x v="7"/>
    <x v="1"/>
    <x v="11"/>
    <x v="2"/>
  </r>
  <r>
    <x v="2086"/>
    <x v="8"/>
    <x v="2"/>
    <n v="56.6"/>
    <x v="1026"/>
    <d v="2025-03-18T00:00:00"/>
    <x v="83"/>
    <x v="2"/>
    <x v="1"/>
    <x v="2"/>
    <s v="California"/>
    <x v="7"/>
    <x v="3"/>
    <x v="11"/>
    <x v="2"/>
  </r>
  <r>
    <x v="2087"/>
    <x v="15"/>
    <x v="6"/>
    <n v="46.3"/>
    <x v="1585"/>
    <d v="2025-03-18T00:00:00"/>
    <x v="75"/>
    <x v="1"/>
    <x v="0"/>
    <x v="0"/>
    <s v="California"/>
    <x v="7"/>
    <x v="2"/>
    <x v="11"/>
    <x v="1"/>
  </r>
  <r>
    <x v="2088"/>
    <x v="14"/>
    <x v="12"/>
    <n v="23"/>
    <x v="988"/>
    <d v="2025-03-18T00:00:00"/>
    <x v="80"/>
    <x v="1"/>
    <x v="3"/>
    <x v="2"/>
    <s v="California"/>
    <x v="7"/>
    <x v="5"/>
    <x v="11"/>
    <x v="1"/>
  </r>
  <r>
    <x v="2089"/>
    <x v="8"/>
    <x v="13"/>
    <n v="42.1"/>
    <x v="1586"/>
    <d v="2025-03-18T00:00:00"/>
    <x v="78"/>
    <x v="1"/>
    <x v="4"/>
    <x v="0"/>
    <s v="California"/>
    <x v="8"/>
    <x v="1"/>
    <x v="11"/>
    <x v="1"/>
  </r>
  <r>
    <x v="2090"/>
    <x v="5"/>
    <x v="3"/>
    <n v="57.4"/>
    <x v="1587"/>
    <d v="2025-03-18T00:00:00"/>
    <x v="80"/>
    <x v="2"/>
    <x v="1"/>
    <x v="4"/>
    <s v="California"/>
    <x v="8"/>
    <x v="5"/>
    <x v="11"/>
    <x v="2"/>
  </r>
  <r>
    <x v="2091"/>
    <x v="0"/>
    <x v="13"/>
    <n v="13.2"/>
    <x v="1113"/>
    <d v="2025-03-18T00:00:00"/>
    <x v="80"/>
    <x v="1"/>
    <x v="2"/>
    <x v="0"/>
    <s v="California"/>
    <x v="8"/>
    <x v="5"/>
    <x v="11"/>
    <x v="1"/>
  </r>
  <r>
    <x v="2092"/>
    <x v="6"/>
    <x v="2"/>
    <n v="52.3"/>
    <x v="1588"/>
    <d v="2025-03-18T00:00:00"/>
    <x v="83"/>
    <x v="1"/>
    <x v="1"/>
    <x v="0"/>
    <s v="California"/>
    <x v="8"/>
    <x v="3"/>
    <x v="11"/>
    <x v="1"/>
  </r>
  <r>
    <x v="2093"/>
    <x v="8"/>
    <x v="1"/>
    <n v="15.7"/>
    <x v="1323"/>
    <d v="2025-03-18T00:00:00"/>
    <x v="75"/>
    <x v="1"/>
    <x v="1"/>
    <x v="2"/>
    <s v="California"/>
    <x v="8"/>
    <x v="2"/>
    <x v="11"/>
    <x v="1"/>
  </r>
  <r>
    <x v="2094"/>
    <x v="7"/>
    <x v="2"/>
    <n v="35"/>
    <x v="211"/>
    <d v="2025-03-18T00:00:00"/>
    <x v="75"/>
    <x v="2"/>
    <x v="1"/>
    <x v="2"/>
    <s v="California"/>
    <x v="9"/>
    <x v="2"/>
    <x v="11"/>
    <x v="2"/>
  </r>
  <r>
    <x v="2095"/>
    <x v="4"/>
    <x v="2"/>
    <n v="26.6"/>
    <x v="1589"/>
    <d v="2025-03-18T00:00:00"/>
    <x v="73"/>
    <x v="1"/>
    <x v="1"/>
    <x v="2"/>
    <s v="California"/>
    <x v="11"/>
    <x v="7"/>
    <x v="11"/>
    <x v="1"/>
  </r>
  <r>
    <x v="2096"/>
    <x v="4"/>
    <x v="8"/>
    <n v="47.9"/>
    <x v="1590"/>
    <d v="2025-03-19T00:00:00"/>
    <x v="78"/>
    <x v="2"/>
    <x v="3"/>
    <x v="2"/>
    <s v="California"/>
    <x v="20"/>
    <x v="3"/>
    <x v="11"/>
    <x v="2"/>
  </r>
  <r>
    <x v="2097"/>
    <x v="5"/>
    <x v="0"/>
    <n v="80.099999999999994"/>
    <x v="1133"/>
    <d v="2025-03-19T00:00:00"/>
    <x v="78"/>
    <x v="1"/>
    <x v="2"/>
    <x v="0"/>
    <s v="California"/>
    <x v="21"/>
    <x v="3"/>
    <x v="11"/>
    <x v="1"/>
  </r>
  <r>
    <x v="2098"/>
    <x v="6"/>
    <x v="9"/>
    <n v="50.4"/>
    <x v="816"/>
    <d v="2025-03-19T00:00:00"/>
    <x v="78"/>
    <x v="1"/>
    <x v="1"/>
    <x v="2"/>
    <s v="California"/>
    <x v="21"/>
    <x v="3"/>
    <x v="11"/>
    <x v="1"/>
  </r>
  <r>
    <x v="2099"/>
    <x v="10"/>
    <x v="3"/>
    <n v="43.3"/>
    <x v="1591"/>
    <d v="2025-03-19T00:00:00"/>
    <x v="78"/>
    <x v="1"/>
    <x v="2"/>
    <x v="0"/>
    <s v="California"/>
    <x v="21"/>
    <x v="3"/>
    <x v="11"/>
    <x v="1"/>
  </r>
  <r>
    <x v="2100"/>
    <x v="10"/>
    <x v="12"/>
    <n v="57.5"/>
    <x v="984"/>
    <d v="2025-03-19T00:00:00"/>
    <x v="78"/>
    <x v="2"/>
    <x v="1"/>
    <x v="2"/>
    <s v="California"/>
    <x v="1"/>
    <x v="3"/>
    <x v="11"/>
    <x v="2"/>
  </r>
  <r>
    <x v="2101"/>
    <x v="9"/>
    <x v="15"/>
    <n v="24.8"/>
    <x v="1592"/>
    <d v="2025-03-19T00:00:00"/>
    <x v="78"/>
    <x v="1"/>
    <x v="0"/>
    <x v="0"/>
    <s v="California"/>
    <x v="57"/>
    <x v="3"/>
    <x v="11"/>
    <x v="1"/>
  </r>
  <r>
    <x v="2102"/>
    <x v="2"/>
    <x v="11"/>
    <n v="85.7"/>
    <x v="1593"/>
    <d v="2025-03-19T00:00:00"/>
    <x v="78"/>
    <x v="2"/>
    <x v="0"/>
    <x v="0"/>
    <s v="California"/>
    <x v="42"/>
    <x v="3"/>
    <x v="11"/>
    <x v="2"/>
  </r>
  <r>
    <x v="2103"/>
    <x v="7"/>
    <x v="0"/>
    <n v="47.1"/>
    <x v="392"/>
    <d v="2025-03-19T00:00:00"/>
    <x v="75"/>
    <x v="2"/>
    <x v="0"/>
    <x v="0"/>
    <s v="California"/>
    <x v="2"/>
    <x v="1"/>
    <x v="11"/>
    <x v="2"/>
  </r>
  <r>
    <x v="2104"/>
    <x v="5"/>
    <x v="7"/>
    <n v="83.2"/>
    <x v="1594"/>
    <d v="2025-03-19T00:00:00"/>
    <x v="79"/>
    <x v="2"/>
    <x v="0"/>
    <x v="0"/>
    <s v="California"/>
    <x v="33"/>
    <x v="5"/>
    <x v="11"/>
    <x v="2"/>
  </r>
  <r>
    <x v="2105"/>
    <x v="2"/>
    <x v="2"/>
    <n v="157"/>
    <x v="1595"/>
    <d v="2025-03-19T00:00:00"/>
    <x v="75"/>
    <x v="2"/>
    <x v="0"/>
    <x v="2"/>
    <s v="California"/>
    <x v="22"/>
    <x v="1"/>
    <x v="11"/>
    <x v="2"/>
  </r>
  <r>
    <x v="2106"/>
    <x v="16"/>
    <x v="12"/>
    <n v="33.700000000000003"/>
    <x v="1093"/>
    <d v="2025-03-19T00:00:00"/>
    <x v="78"/>
    <x v="1"/>
    <x v="2"/>
    <x v="2"/>
    <s v="California"/>
    <x v="22"/>
    <x v="3"/>
    <x v="11"/>
    <x v="1"/>
  </r>
  <r>
    <x v="2107"/>
    <x v="2"/>
    <x v="2"/>
    <n v="60.8"/>
    <x v="1596"/>
    <d v="2025-03-19T00:00:00"/>
    <x v="79"/>
    <x v="2"/>
    <x v="1"/>
    <x v="1"/>
    <s v="California"/>
    <x v="3"/>
    <x v="5"/>
    <x v="11"/>
    <x v="2"/>
  </r>
  <r>
    <x v="2108"/>
    <x v="7"/>
    <x v="0"/>
    <n v="57.6"/>
    <x v="636"/>
    <d v="2025-03-19T00:00:00"/>
    <x v="78"/>
    <x v="1"/>
    <x v="1"/>
    <x v="4"/>
    <s v="California"/>
    <x v="3"/>
    <x v="3"/>
    <x v="11"/>
    <x v="1"/>
  </r>
  <r>
    <x v="2109"/>
    <x v="10"/>
    <x v="0"/>
    <n v="32"/>
    <x v="109"/>
    <d v="2025-03-19T00:00:00"/>
    <x v="75"/>
    <x v="1"/>
    <x v="0"/>
    <x v="0"/>
    <s v="California"/>
    <x v="3"/>
    <x v="1"/>
    <x v="11"/>
    <x v="1"/>
  </r>
  <r>
    <x v="2110"/>
    <x v="10"/>
    <x v="12"/>
    <n v="23.5"/>
    <x v="255"/>
    <d v="2025-03-19T00:00:00"/>
    <x v="78"/>
    <x v="2"/>
    <x v="0"/>
    <x v="2"/>
    <s v="California"/>
    <x v="3"/>
    <x v="3"/>
    <x v="11"/>
    <x v="2"/>
  </r>
  <r>
    <x v="2111"/>
    <x v="12"/>
    <x v="2"/>
    <n v="44.8"/>
    <x v="1597"/>
    <d v="2025-03-19T00:00:00"/>
    <x v="78"/>
    <x v="3"/>
    <x v="4"/>
    <x v="0"/>
    <s v="California"/>
    <x v="3"/>
    <x v="3"/>
    <x v="11"/>
    <x v="3"/>
  </r>
  <r>
    <x v="2112"/>
    <x v="0"/>
    <x v="8"/>
    <n v="11.7"/>
    <x v="64"/>
    <d v="2025-03-19T00:00:00"/>
    <x v="78"/>
    <x v="1"/>
    <x v="2"/>
    <x v="2"/>
    <s v="California"/>
    <x v="3"/>
    <x v="3"/>
    <x v="11"/>
    <x v="1"/>
  </r>
  <r>
    <x v="2113"/>
    <x v="7"/>
    <x v="1"/>
    <n v="38.799999999999997"/>
    <x v="1598"/>
    <d v="2025-03-19T00:00:00"/>
    <x v="80"/>
    <x v="2"/>
    <x v="2"/>
    <x v="0"/>
    <s v="California"/>
    <x v="3"/>
    <x v="2"/>
    <x v="11"/>
    <x v="2"/>
  </r>
  <r>
    <x v="2114"/>
    <x v="5"/>
    <x v="21"/>
    <n v="86.9"/>
    <x v="1599"/>
    <d v="2025-03-19T00:00:00"/>
    <x v="77"/>
    <x v="2"/>
    <x v="1"/>
    <x v="0"/>
    <s v="California"/>
    <x v="3"/>
    <x v="0"/>
    <x v="11"/>
    <x v="2"/>
  </r>
  <r>
    <x v="2115"/>
    <x v="8"/>
    <x v="0"/>
    <n v="18.3"/>
    <x v="1600"/>
    <d v="2025-03-19T00:00:00"/>
    <x v="78"/>
    <x v="2"/>
    <x v="0"/>
    <x v="0"/>
    <s v="California"/>
    <x v="3"/>
    <x v="3"/>
    <x v="11"/>
    <x v="2"/>
  </r>
  <r>
    <x v="2116"/>
    <x v="5"/>
    <x v="0"/>
    <n v="47.5"/>
    <x v="1601"/>
    <d v="2025-03-19T00:00:00"/>
    <x v="79"/>
    <x v="1"/>
    <x v="4"/>
    <x v="2"/>
    <s v="California"/>
    <x v="3"/>
    <x v="5"/>
    <x v="11"/>
    <x v="1"/>
  </r>
  <r>
    <x v="2117"/>
    <x v="1"/>
    <x v="1"/>
    <n v="78.599999999999994"/>
    <x v="507"/>
    <d v="2025-03-19T00:00:00"/>
    <x v="78"/>
    <x v="1"/>
    <x v="2"/>
    <x v="2"/>
    <s v="California"/>
    <x v="3"/>
    <x v="3"/>
    <x v="11"/>
    <x v="1"/>
  </r>
  <r>
    <x v="2118"/>
    <x v="6"/>
    <x v="12"/>
    <n v="87.3"/>
    <x v="1602"/>
    <d v="2025-03-19T00:00:00"/>
    <x v="78"/>
    <x v="1"/>
    <x v="0"/>
    <x v="0"/>
    <s v="California"/>
    <x v="3"/>
    <x v="3"/>
    <x v="11"/>
    <x v="1"/>
  </r>
  <r>
    <x v="2119"/>
    <x v="9"/>
    <x v="1"/>
    <n v="63.2"/>
    <x v="628"/>
    <d v="2025-03-19T00:00:00"/>
    <x v="83"/>
    <x v="1"/>
    <x v="4"/>
    <x v="1"/>
    <s v="California"/>
    <x v="3"/>
    <x v="7"/>
    <x v="11"/>
    <x v="1"/>
  </r>
  <r>
    <x v="2120"/>
    <x v="5"/>
    <x v="9"/>
    <n v="33.700000000000003"/>
    <x v="1603"/>
    <d v="2025-03-19T00:00:00"/>
    <x v="78"/>
    <x v="2"/>
    <x v="0"/>
    <x v="0"/>
    <s v="California"/>
    <x v="3"/>
    <x v="3"/>
    <x v="11"/>
    <x v="2"/>
  </r>
  <r>
    <x v="2121"/>
    <x v="2"/>
    <x v="2"/>
    <n v="107.4"/>
    <x v="1604"/>
    <d v="2025-03-19T00:00:00"/>
    <x v="84"/>
    <x v="2"/>
    <x v="1"/>
    <x v="2"/>
    <s v="California"/>
    <x v="3"/>
    <x v="10"/>
    <x v="11"/>
    <x v="2"/>
  </r>
  <r>
    <x v="2122"/>
    <x v="4"/>
    <x v="12"/>
    <n v="22.2"/>
    <x v="1605"/>
    <d v="2025-03-19T00:00:00"/>
    <x v="78"/>
    <x v="0"/>
    <x v="1"/>
    <x v="2"/>
    <s v="California"/>
    <x v="24"/>
    <x v="3"/>
    <x v="11"/>
    <x v="0"/>
  </r>
  <r>
    <x v="2123"/>
    <x v="18"/>
    <x v="2"/>
    <n v="52.8"/>
    <x v="1329"/>
    <d v="2025-03-19T00:00:00"/>
    <x v="78"/>
    <x v="1"/>
    <x v="3"/>
    <x v="2"/>
    <s v="California"/>
    <x v="24"/>
    <x v="3"/>
    <x v="11"/>
    <x v="1"/>
  </r>
  <r>
    <x v="2124"/>
    <x v="8"/>
    <x v="2"/>
    <n v="41.5"/>
    <x v="376"/>
    <d v="2025-03-19T00:00:00"/>
    <x v="80"/>
    <x v="2"/>
    <x v="0"/>
    <x v="0"/>
    <s v="California"/>
    <x v="25"/>
    <x v="2"/>
    <x v="11"/>
    <x v="2"/>
  </r>
  <r>
    <x v="2125"/>
    <x v="12"/>
    <x v="8"/>
    <n v="103.5"/>
    <x v="1606"/>
    <d v="2025-03-19T00:00:00"/>
    <x v="80"/>
    <x v="2"/>
    <x v="0"/>
    <x v="2"/>
    <s v="California"/>
    <x v="23"/>
    <x v="2"/>
    <x v="11"/>
    <x v="2"/>
  </r>
  <r>
    <x v="2126"/>
    <x v="4"/>
    <x v="21"/>
    <n v="37.5"/>
    <x v="1469"/>
    <d v="2025-03-19T00:00:00"/>
    <x v="83"/>
    <x v="2"/>
    <x v="1"/>
    <x v="2"/>
    <s v="California"/>
    <x v="6"/>
    <x v="7"/>
    <x v="11"/>
    <x v="2"/>
  </r>
  <r>
    <x v="2127"/>
    <x v="15"/>
    <x v="8"/>
    <n v="44.4"/>
    <x v="1607"/>
    <d v="2025-03-19T00:00:00"/>
    <x v="82"/>
    <x v="2"/>
    <x v="3"/>
    <x v="2"/>
    <s v="California"/>
    <x v="7"/>
    <x v="4"/>
    <x v="11"/>
    <x v="2"/>
  </r>
  <r>
    <x v="2128"/>
    <x v="8"/>
    <x v="2"/>
    <n v="26.2"/>
    <x v="1608"/>
    <d v="2025-03-19T00:00:00"/>
    <x v="78"/>
    <x v="1"/>
    <x v="0"/>
    <x v="0"/>
    <s v="California"/>
    <x v="8"/>
    <x v="3"/>
    <x v="11"/>
    <x v="1"/>
  </r>
  <r>
    <x v="2129"/>
    <x v="1"/>
    <x v="3"/>
    <n v="32.200000000000003"/>
    <x v="1009"/>
    <d v="2025-03-19T00:00:00"/>
    <x v="78"/>
    <x v="2"/>
    <x v="1"/>
    <x v="2"/>
    <s v="California"/>
    <x v="8"/>
    <x v="3"/>
    <x v="11"/>
    <x v="2"/>
  </r>
  <r>
    <x v="2130"/>
    <x v="8"/>
    <x v="0"/>
    <n v="17.399999999999999"/>
    <x v="1609"/>
    <d v="2025-03-19T00:00:00"/>
    <x v="79"/>
    <x v="0"/>
    <x v="2"/>
    <x v="1"/>
    <s v="California"/>
    <x v="8"/>
    <x v="5"/>
    <x v="11"/>
    <x v="0"/>
  </r>
  <r>
    <x v="2131"/>
    <x v="8"/>
    <x v="13"/>
    <n v="72.3"/>
    <x v="1610"/>
    <d v="2025-03-19T00:00:00"/>
    <x v="80"/>
    <x v="2"/>
    <x v="0"/>
    <x v="0"/>
    <s v="California"/>
    <x v="8"/>
    <x v="2"/>
    <x v="11"/>
    <x v="2"/>
  </r>
  <r>
    <x v="2132"/>
    <x v="8"/>
    <x v="5"/>
    <n v="24.3"/>
    <x v="1611"/>
    <d v="2025-03-19T00:00:00"/>
    <x v="78"/>
    <x v="1"/>
    <x v="0"/>
    <x v="0"/>
    <s v="California"/>
    <x v="8"/>
    <x v="3"/>
    <x v="11"/>
    <x v="1"/>
  </r>
  <r>
    <x v="2133"/>
    <x v="13"/>
    <x v="2"/>
    <n v="49.1"/>
    <x v="824"/>
    <d v="2025-03-19T00:00:00"/>
    <x v="82"/>
    <x v="1"/>
    <x v="2"/>
    <x v="4"/>
    <s v="California"/>
    <x v="8"/>
    <x v="4"/>
    <x v="11"/>
    <x v="1"/>
  </r>
  <r>
    <x v="2134"/>
    <x v="2"/>
    <x v="7"/>
    <n v="234.7"/>
    <x v="1612"/>
    <d v="2025-03-19T00:00:00"/>
    <x v="78"/>
    <x v="1"/>
    <x v="3"/>
    <x v="1"/>
    <s v="California"/>
    <x v="8"/>
    <x v="3"/>
    <x v="11"/>
    <x v="1"/>
  </r>
  <r>
    <x v="2135"/>
    <x v="3"/>
    <x v="9"/>
    <n v="76.099999999999994"/>
    <x v="1613"/>
    <d v="2025-03-19T00:00:00"/>
    <x v="75"/>
    <x v="1"/>
    <x v="1"/>
    <x v="1"/>
    <s v="California"/>
    <x v="17"/>
    <x v="1"/>
    <x v="11"/>
    <x v="1"/>
  </r>
  <r>
    <x v="2136"/>
    <x v="1"/>
    <x v="2"/>
    <n v="93.9"/>
    <x v="1614"/>
    <d v="2025-03-19T00:00:00"/>
    <x v="78"/>
    <x v="1"/>
    <x v="1"/>
    <x v="4"/>
    <s v="California"/>
    <x v="11"/>
    <x v="3"/>
    <x v="11"/>
    <x v="1"/>
  </r>
  <r>
    <x v="2137"/>
    <x v="2"/>
    <x v="12"/>
    <n v="187"/>
    <x v="1615"/>
    <d v="2025-03-20T00:00:00"/>
    <x v="79"/>
    <x v="1"/>
    <x v="0"/>
    <x v="0"/>
    <s v="California"/>
    <x v="11"/>
    <x v="2"/>
    <x v="11"/>
    <x v="1"/>
  </r>
  <r>
    <x v="2138"/>
    <x v="8"/>
    <x v="1"/>
    <n v="18"/>
    <x v="53"/>
    <d v="2025-03-20T00:00:00"/>
    <x v="75"/>
    <x v="2"/>
    <x v="1"/>
    <x v="2"/>
    <s v="California"/>
    <x v="53"/>
    <x v="3"/>
    <x v="11"/>
    <x v="2"/>
  </r>
  <r>
    <x v="2139"/>
    <x v="4"/>
    <x v="0"/>
    <n v="24.4"/>
    <x v="1616"/>
    <d v="2025-03-20T00:00:00"/>
    <x v="75"/>
    <x v="2"/>
    <x v="4"/>
    <x v="2"/>
    <s v="California"/>
    <x v="21"/>
    <x v="3"/>
    <x v="11"/>
    <x v="2"/>
  </r>
  <r>
    <x v="2140"/>
    <x v="10"/>
    <x v="1"/>
    <n v="38.799999999999997"/>
    <x v="1598"/>
    <d v="2025-03-20T00:00:00"/>
    <x v="75"/>
    <x v="1"/>
    <x v="4"/>
    <x v="1"/>
    <s v="California"/>
    <x v="3"/>
    <x v="3"/>
    <x v="11"/>
    <x v="1"/>
  </r>
  <r>
    <x v="2141"/>
    <x v="3"/>
    <x v="0"/>
    <n v="59.7"/>
    <x v="1201"/>
    <d v="2025-03-20T00:00:00"/>
    <x v="79"/>
    <x v="1"/>
    <x v="3"/>
    <x v="0"/>
    <s v="California"/>
    <x v="3"/>
    <x v="2"/>
    <x v="11"/>
    <x v="1"/>
  </r>
  <r>
    <x v="2142"/>
    <x v="7"/>
    <x v="0"/>
    <n v="31.2"/>
    <x v="406"/>
    <d v="2025-03-20T00:00:00"/>
    <x v="75"/>
    <x v="1"/>
    <x v="1"/>
    <x v="2"/>
    <s v="California"/>
    <x v="3"/>
    <x v="3"/>
    <x v="11"/>
    <x v="1"/>
  </r>
  <r>
    <x v="2143"/>
    <x v="0"/>
    <x v="0"/>
    <n v="16.8"/>
    <x v="749"/>
    <d v="2025-03-20T00:00:00"/>
    <x v="75"/>
    <x v="2"/>
    <x v="2"/>
    <x v="1"/>
    <s v="California"/>
    <x v="3"/>
    <x v="3"/>
    <x v="11"/>
    <x v="2"/>
  </r>
  <r>
    <x v="2144"/>
    <x v="8"/>
    <x v="0"/>
    <n v="46"/>
    <x v="716"/>
    <d v="2025-03-20T00:00:00"/>
    <x v="75"/>
    <x v="1"/>
    <x v="0"/>
    <x v="0"/>
    <s v="California"/>
    <x v="3"/>
    <x v="3"/>
    <x v="11"/>
    <x v="1"/>
  </r>
  <r>
    <x v="2145"/>
    <x v="9"/>
    <x v="8"/>
    <n v="42.2"/>
    <x v="1617"/>
    <d v="2025-03-20T00:00:00"/>
    <x v="79"/>
    <x v="2"/>
    <x v="3"/>
    <x v="2"/>
    <s v="California"/>
    <x v="3"/>
    <x v="2"/>
    <x v="11"/>
    <x v="2"/>
  </r>
  <r>
    <x v="2146"/>
    <x v="1"/>
    <x v="2"/>
    <n v="71.5"/>
    <x v="523"/>
    <d v="2025-03-20T00:00:00"/>
    <x v="85"/>
    <x v="2"/>
    <x v="0"/>
    <x v="0"/>
    <s v="California"/>
    <x v="3"/>
    <x v="12"/>
    <x v="11"/>
    <x v="2"/>
  </r>
  <r>
    <x v="2147"/>
    <x v="1"/>
    <x v="1"/>
    <n v="76.599999999999994"/>
    <x v="1618"/>
    <d v="2025-03-20T00:00:00"/>
    <x v="78"/>
    <x v="1"/>
    <x v="0"/>
    <x v="2"/>
    <s v="California"/>
    <x v="3"/>
    <x v="7"/>
    <x v="11"/>
    <x v="1"/>
  </r>
  <r>
    <x v="2148"/>
    <x v="12"/>
    <x v="1"/>
    <n v="87.3"/>
    <x v="1619"/>
    <d v="2025-03-20T00:00:00"/>
    <x v="86"/>
    <x v="2"/>
    <x v="3"/>
    <x v="2"/>
    <s v="California"/>
    <x v="3"/>
    <x v="9"/>
    <x v="11"/>
    <x v="2"/>
  </r>
  <r>
    <x v="2149"/>
    <x v="1"/>
    <x v="0"/>
    <n v="63"/>
    <x v="1620"/>
    <d v="2025-03-20T00:00:00"/>
    <x v="79"/>
    <x v="1"/>
    <x v="3"/>
    <x v="0"/>
    <s v="California"/>
    <x v="3"/>
    <x v="2"/>
    <x v="11"/>
    <x v="1"/>
  </r>
  <r>
    <x v="2150"/>
    <x v="8"/>
    <x v="1"/>
    <n v="41.7"/>
    <x v="925"/>
    <d v="2025-03-20T00:00:00"/>
    <x v="75"/>
    <x v="2"/>
    <x v="4"/>
    <x v="1"/>
    <s v="California"/>
    <x v="43"/>
    <x v="3"/>
    <x v="11"/>
    <x v="2"/>
  </r>
  <r>
    <x v="2151"/>
    <x v="6"/>
    <x v="1"/>
    <n v="76.099999999999994"/>
    <x v="1621"/>
    <d v="2025-03-20T00:00:00"/>
    <x v="78"/>
    <x v="2"/>
    <x v="4"/>
    <x v="2"/>
    <s v="California"/>
    <x v="16"/>
    <x v="7"/>
    <x v="11"/>
    <x v="2"/>
  </r>
  <r>
    <x v="2152"/>
    <x v="13"/>
    <x v="1"/>
    <n v="28.5"/>
    <x v="933"/>
    <d v="2025-03-20T00:00:00"/>
    <x v="75"/>
    <x v="2"/>
    <x v="0"/>
    <x v="2"/>
    <s v="California"/>
    <x v="4"/>
    <x v="3"/>
    <x v="11"/>
    <x v="2"/>
  </r>
  <r>
    <x v="2153"/>
    <x v="0"/>
    <x v="12"/>
    <n v="32.1"/>
    <x v="58"/>
    <d v="2025-03-20T00:00:00"/>
    <x v="75"/>
    <x v="2"/>
    <x v="1"/>
    <x v="2"/>
    <s v="California"/>
    <x v="25"/>
    <x v="3"/>
    <x v="11"/>
    <x v="2"/>
  </r>
  <r>
    <x v="2154"/>
    <x v="4"/>
    <x v="2"/>
    <n v="39"/>
    <x v="1622"/>
    <d v="2025-03-20T00:00:00"/>
    <x v="79"/>
    <x v="1"/>
    <x v="1"/>
    <x v="2"/>
    <s v="California"/>
    <x v="25"/>
    <x v="2"/>
    <x v="11"/>
    <x v="1"/>
  </r>
  <r>
    <x v="2155"/>
    <x v="6"/>
    <x v="0"/>
    <n v="78.5"/>
    <x v="1623"/>
    <d v="2025-03-20T00:00:00"/>
    <x v="75"/>
    <x v="1"/>
    <x v="1"/>
    <x v="0"/>
    <s v="California"/>
    <x v="6"/>
    <x v="3"/>
    <x v="11"/>
    <x v="1"/>
  </r>
  <r>
    <x v="2156"/>
    <x v="4"/>
    <x v="9"/>
    <n v="49.7"/>
    <x v="1624"/>
    <d v="2025-03-20T00:00:00"/>
    <x v="80"/>
    <x v="2"/>
    <x v="0"/>
    <x v="0"/>
    <s v="California"/>
    <x v="6"/>
    <x v="1"/>
    <x v="11"/>
    <x v="2"/>
  </r>
  <r>
    <x v="2157"/>
    <x v="1"/>
    <x v="12"/>
    <n v="68.400000000000006"/>
    <x v="1625"/>
    <d v="2025-03-20T00:00:00"/>
    <x v="75"/>
    <x v="2"/>
    <x v="2"/>
    <x v="2"/>
    <s v="California"/>
    <x v="7"/>
    <x v="3"/>
    <x v="11"/>
    <x v="2"/>
  </r>
  <r>
    <x v="2158"/>
    <x v="3"/>
    <x v="1"/>
    <n v="72.900000000000006"/>
    <x v="1626"/>
    <d v="2025-03-20T00:00:00"/>
    <x v="79"/>
    <x v="0"/>
    <x v="0"/>
    <x v="2"/>
    <s v="California"/>
    <x v="7"/>
    <x v="2"/>
    <x v="11"/>
    <x v="0"/>
  </r>
  <r>
    <x v="2159"/>
    <x v="5"/>
    <x v="15"/>
    <n v="30.3"/>
    <x v="1627"/>
    <d v="2025-03-20T00:00:00"/>
    <x v="75"/>
    <x v="1"/>
    <x v="4"/>
    <x v="0"/>
    <s v="California"/>
    <x v="7"/>
    <x v="3"/>
    <x v="11"/>
    <x v="1"/>
  </r>
  <r>
    <x v="2160"/>
    <x v="6"/>
    <x v="5"/>
    <n v="57.9"/>
    <x v="1628"/>
    <d v="2025-03-20T00:00:00"/>
    <x v="75"/>
    <x v="2"/>
    <x v="0"/>
    <x v="0"/>
    <s v="California"/>
    <x v="8"/>
    <x v="3"/>
    <x v="11"/>
    <x v="2"/>
  </r>
  <r>
    <x v="2161"/>
    <x v="1"/>
    <x v="0"/>
    <n v="96.7"/>
    <x v="1629"/>
    <d v="2025-03-20T00:00:00"/>
    <x v="75"/>
    <x v="1"/>
    <x v="0"/>
    <x v="0"/>
    <s v="California"/>
    <x v="8"/>
    <x v="3"/>
    <x v="11"/>
    <x v="1"/>
  </r>
  <r>
    <x v="2162"/>
    <x v="8"/>
    <x v="4"/>
    <n v="27.6"/>
    <x v="1630"/>
    <d v="2025-03-20T00:00:00"/>
    <x v="80"/>
    <x v="1"/>
    <x v="2"/>
    <x v="2"/>
    <s v="California"/>
    <x v="8"/>
    <x v="1"/>
    <x v="11"/>
    <x v="1"/>
  </r>
  <r>
    <x v="2163"/>
    <x v="6"/>
    <x v="12"/>
    <n v="64.7"/>
    <x v="536"/>
    <d v="2025-03-20T00:00:00"/>
    <x v="78"/>
    <x v="1"/>
    <x v="3"/>
    <x v="2"/>
    <s v="California"/>
    <x v="8"/>
    <x v="7"/>
    <x v="11"/>
    <x v="1"/>
  </r>
  <r>
    <x v="2164"/>
    <x v="10"/>
    <x v="13"/>
    <n v="30.5"/>
    <x v="1143"/>
    <d v="2025-03-20T00:00:00"/>
    <x v="75"/>
    <x v="1"/>
    <x v="4"/>
    <x v="0"/>
    <s v="California"/>
    <x v="8"/>
    <x v="3"/>
    <x v="11"/>
    <x v="1"/>
  </r>
  <r>
    <x v="2165"/>
    <x v="6"/>
    <x v="47"/>
    <n v="106"/>
    <x v="1631"/>
    <d v="2025-03-21T00:00:00"/>
    <x v="79"/>
    <x v="1"/>
    <x v="4"/>
    <x v="2"/>
    <s v="California"/>
    <x v="8"/>
    <x v="1"/>
    <x v="11"/>
    <x v="1"/>
  </r>
  <r>
    <x v="2166"/>
    <x v="12"/>
    <x v="9"/>
    <n v="76.8"/>
    <x v="1632"/>
    <d v="2025-03-21T00:00:00"/>
    <x v="87"/>
    <x v="0"/>
    <x v="1"/>
    <x v="1"/>
    <s v="California"/>
    <x v="18"/>
    <x v="4"/>
    <x v="11"/>
    <x v="0"/>
  </r>
  <r>
    <x v="2167"/>
    <x v="6"/>
    <x v="1"/>
    <n v="80.400000000000006"/>
    <x v="1530"/>
    <d v="2025-03-21T00:00:00"/>
    <x v="80"/>
    <x v="2"/>
    <x v="2"/>
    <x v="0"/>
    <s v="California"/>
    <x v="13"/>
    <x v="3"/>
    <x v="11"/>
    <x v="2"/>
  </r>
  <r>
    <x v="2168"/>
    <x v="6"/>
    <x v="12"/>
    <n v="69.099999999999994"/>
    <x v="1633"/>
    <d v="2025-03-21T00:00:00"/>
    <x v="80"/>
    <x v="1"/>
    <x v="1"/>
    <x v="2"/>
    <s v="California"/>
    <x v="21"/>
    <x v="3"/>
    <x v="11"/>
    <x v="1"/>
  </r>
  <r>
    <x v="2169"/>
    <x v="18"/>
    <x v="1"/>
    <n v="76.400000000000006"/>
    <x v="1634"/>
    <d v="2025-03-21T00:00:00"/>
    <x v="75"/>
    <x v="1"/>
    <x v="3"/>
    <x v="0"/>
    <s v="California"/>
    <x v="21"/>
    <x v="7"/>
    <x v="11"/>
    <x v="1"/>
  </r>
  <r>
    <x v="2170"/>
    <x v="2"/>
    <x v="1"/>
    <n v="61.3"/>
    <x v="384"/>
    <d v="2025-03-21T00:00:00"/>
    <x v="80"/>
    <x v="2"/>
    <x v="1"/>
    <x v="1"/>
    <s v="California"/>
    <x v="21"/>
    <x v="3"/>
    <x v="11"/>
    <x v="2"/>
  </r>
  <r>
    <x v="2171"/>
    <x v="7"/>
    <x v="0"/>
    <n v="58"/>
    <x v="1635"/>
    <d v="2025-03-21T00:00:00"/>
    <x v="80"/>
    <x v="1"/>
    <x v="3"/>
    <x v="1"/>
    <s v="California"/>
    <x v="1"/>
    <x v="3"/>
    <x v="11"/>
    <x v="1"/>
  </r>
  <r>
    <x v="2172"/>
    <x v="2"/>
    <x v="8"/>
    <n v="102.3"/>
    <x v="1636"/>
    <d v="2025-03-21T00:00:00"/>
    <x v="79"/>
    <x v="1"/>
    <x v="2"/>
    <x v="0"/>
    <s v="California"/>
    <x v="42"/>
    <x v="1"/>
    <x v="11"/>
    <x v="1"/>
  </r>
  <r>
    <x v="2173"/>
    <x v="19"/>
    <x v="1"/>
    <n v="13.8"/>
    <x v="1637"/>
    <d v="2025-03-21T00:00:00"/>
    <x v="80"/>
    <x v="2"/>
    <x v="4"/>
    <x v="2"/>
    <s v="California"/>
    <x v="2"/>
    <x v="3"/>
    <x v="11"/>
    <x v="2"/>
  </r>
  <r>
    <x v="2174"/>
    <x v="8"/>
    <x v="2"/>
    <n v="33.299999999999997"/>
    <x v="1638"/>
    <d v="2025-03-21T00:00:00"/>
    <x v="77"/>
    <x v="2"/>
    <x v="2"/>
    <x v="0"/>
    <s v="California"/>
    <x v="22"/>
    <x v="2"/>
    <x v="11"/>
    <x v="2"/>
  </r>
  <r>
    <x v="2175"/>
    <x v="10"/>
    <x v="0"/>
    <n v="27.4"/>
    <x v="1639"/>
    <d v="2025-03-21T00:00:00"/>
    <x v="77"/>
    <x v="1"/>
    <x v="0"/>
    <x v="2"/>
    <s v="California"/>
    <x v="22"/>
    <x v="2"/>
    <x v="11"/>
    <x v="1"/>
  </r>
  <r>
    <x v="2176"/>
    <x v="14"/>
    <x v="1"/>
    <n v="25.6"/>
    <x v="180"/>
    <d v="2025-03-21T00:00:00"/>
    <x v="80"/>
    <x v="2"/>
    <x v="1"/>
    <x v="1"/>
    <s v="California"/>
    <x v="3"/>
    <x v="3"/>
    <x v="11"/>
    <x v="2"/>
  </r>
  <r>
    <x v="2177"/>
    <x v="13"/>
    <x v="0"/>
    <n v="58.4"/>
    <x v="305"/>
    <d v="2025-03-21T00:00:00"/>
    <x v="80"/>
    <x v="2"/>
    <x v="2"/>
    <x v="2"/>
    <s v="California"/>
    <x v="3"/>
    <x v="3"/>
    <x v="11"/>
    <x v="2"/>
  </r>
  <r>
    <x v="2178"/>
    <x v="11"/>
    <x v="17"/>
    <n v="27"/>
    <x v="906"/>
    <d v="2025-03-21T00:00:00"/>
    <x v="80"/>
    <x v="2"/>
    <x v="4"/>
    <x v="0"/>
    <s v="California"/>
    <x v="3"/>
    <x v="3"/>
    <x v="11"/>
    <x v="2"/>
  </r>
  <r>
    <x v="2179"/>
    <x v="0"/>
    <x v="12"/>
    <n v="14.2"/>
    <x v="1640"/>
    <d v="2025-03-21T00:00:00"/>
    <x v="80"/>
    <x v="1"/>
    <x v="0"/>
    <x v="2"/>
    <s v="California"/>
    <x v="3"/>
    <x v="3"/>
    <x v="11"/>
    <x v="1"/>
  </r>
  <r>
    <x v="2180"/>
    <x v="7"/>
    <x v="1"/>
    <n v="68"/>
    <x v="1641"/>
    <d v="2025-03-21T00:00:00"/>
    <x v="88"/>
    <x v="1"/>
    <x v="2"/>
    <x v="1"/>
    <s v="California"/>
    <x v="3"/>
    <x v="14"/>
    <x v="11"/>
    <x v="1"/>
  </r>
  <r>
    <x v="2181"/>
    <x v="8"/>
    <x v="0"/>
    <n v="30.7"/>
    <x v="1642"/>
    <d v="2025-03-21T00:00:00"/>
    <x v="80"/>
    <x v="1"/>
    <x v="0"/>
    <x v="0"/>
    <s v="California"/>
    <x v="3"/>
    <x v="3"/>
    <x v="11"/>
    <x v="1"/>
  </r>
  <r>
    <x v="2182"/>
    <x v="17"/>
    <x v="15"/>
    <n v="51.6"/>
    <x v="1643"/>
    <d v="2025-03-21T00:00:00"/>
    <x v="77"/>
    <x v="3"/>
    <x v="1"/>
    <x v="2"/>
    <s v="California"/>
    <x v="3"/>
    <x v="2"/>
    <x v="11"/>
    <x v="3"/>
  </r>
  <r>
    <x v="2183"/>
    <x v="8"/>
    <x v="2"/>
    <n v="20.6"/>
    <x v="957"/>
    <d v="2025-03-21T00:00:00"/>
    <x v="82"/>
    <x v="2"/>
    <x v="4"/>
    <x v="2"/>
    <s v="California"/>
    <x v="3"/>
    <x v="5"/>
    <x v="11"/>
    <x v="2"/>
  </r>
  <r>
    <x v="2184"/>
    <x v="8"/>
    <x v="0"/>
    <n v="24.8"/>
    <x v="1644"/>
    <d v="2025-03-21T00:00:00"/>
    <x v="80"/>
    <x v="1"/>
    <x v="4"/>
    <x v="0"/>
    <s v="California"/>
    <x v="3"/>
    <x v="3"/>
    <x v="11"/>
    <x v="1"/>
  </r>
  <r>
    <x v="2185"/>
    <x v="0"/>
    <x v="3"/>
    <n v="11.2"/>
    <x v="1645"/>
    <d v="2025-03-21T00:00:00"/>
    <x v="77"/>
    <x v="1"/>
    <x v="1"/>
    <x v="0"/>
    <s v="California"/>
    <x v="3"/>
    <x v="2"/>
    <x v="11"/>
    <x v="1"/>
  </r>
  <r>
    <x v="2186"/>
    <x v="11"/>
    <x v="1"/>
    <n v="51.2"/>
    <x v="298"/>
    <d v="2025-03-21T00:00:00"/>
    <x v="80"/>
    <x v="2"/>
    <x v="1"/>
    <x v="2"/>
    <s v="California"/>
    <x v="3"/>
    <x v="3"/>
    <x v="11"/>
    <x v="2"/>
  </r>
  <r>
    <x v="2187"/>
    <x v="7"/>
    <x v="13"/>
    <n v="90.5"/>
    <x v="1646"/>
    <d v="2025-03-21T00:00:00"/>
    <x v="80"/>
    <x v="2"/>
    <x v="1"/>
    <x v="4"/>
    <s v="California"/>
    <x v="3"/>
    <x v="3"/>
    <x v="11"/>
    <x v="2"/>
  </r>
  <r>
    <x v="2188"/>
    <x v="1"/>
    <x v="1"/>
    <n v="42.4"/>
    <x v="1647"/>
    <d v="2025-03-21T00:00:00"/>
    <x v="80"/>
    <x v="1"/>
    <x v="1"/>
    <x v="2"/>
    <s v="California"/>
    <x v="4"/>
    <x v="3"/>
    <x v="11"/>
    <x v="1"/>
  </r>
  <r>
    <x v="2189"/>
    <x v="1"/>
    <x v="1"/>
    <n v="38.200000000000003"/>
    <x v="1648"/>
    <d v="2025-03-21T00:00:00"/>
    <x v="80"/>
    <x v="1"/>
    <x v="0"/>
    <x v="0"/>
    <s v="California"/>
    <x v="5"/>
    <x v="3"/>
    <x v="11"/>
    <x v="1"/>
  </r>
  <r>
    <x v="2190"/>
    <x v="2"/>
    <x v="11"/>
    <n v="121.3"/>
    <x v="1649"/>
    <d v="2025-03-21T00:00:00"/>
    <x v="81"/>
    <x v="1"/>
    <x v="0"/>
    <x v="0"/>
    <s v="California"/>
    <x v="6"/>
    <x v="0"/>
    <x v="11"/>
    <x v="1"/>
  </r>
  <r>
    <x v="2191"/>
    <x v="6"/>
    <x v="1"/>
    <n v="46.9"/>
    <x v="1650"/>
    <d v="2025-03-21T00:00:00"/>
    <x v="86"/>
    <x v="1"/>
    <x v="0"/>
    <x v="0"/>
    <s v="California"/>
    <x v="8"/>
    <x v="6"/>
    <x v="11"/>
    <x v="1"/>
  </r>
  <r>
    <x v="2192"/>
    <x v="10"/>
    <x v="0"/>
    <n v="55.3"/>
    <x v="6"/>
    <d v="2025-03-21T00:00:00"/>
    <x v="79"/>
    <x v="1"/>
    <x v="0"/>
    <x v="0"/>
    <s v="California"/>
    <x v="8"/>
    <x v="1"/>
    <x v="11"/>
    <x v="1"/>
  </r>
  <r>
    <x v="2193"/>
    <x v="2"/>
    <x v="2"/>
    <n v="70.599999999999994"/>
    <x v="1651"/>
    <d v="2025-03-22T00:00:00"/>
    <x v="80"/>
    <x v="2"/>
    <x v="0"/>
    <x v="1"/>
    <s v="California"/>
    <x v="8"/>
    <x v="7"/>
    <x v="11"/>
    <x v="2"/>
  </r>
  <r>
    <x v="2194"/>
    <x v="14"/>
    <x v="12"/>
    <n v="26.1"/>
    <x v="1652"/>
    <d v="2025-03-22T00:00:00"/>
    <x v="77"/>
    <x v="1"/>
    <x v="0"/>
    <x v="0"/>
    <s v="California"/>
    <x v="8"/>
    <x v="1"/>
    <x v="11"/>
    <x v="1"/>
  </r>
  <r>
    <x v="2195"/>
    <x v="9"/>
    <x v="5"/>
    <n v="34.5"/>
    <x v="1653"/>
    <d v="2025-03-22T00:00:00"/>
    <x v="81"/>
    <x v="1"/>
    <x v="2"/>
    <x v="0"/>
    <s v="California"/>
    <x v="17"/>
    <x v="5"/>
    <x v="11"/>
    <x v="1"/>
  </r>
  <r>
    <x v="2196"/>
    <x v="1"/>
    <x v="1"/>
    <n v="64.2"/>
    <x v="58"/>
    <d v="2025-03-22T00:00:00"/>
    <x v="79"/>
    <x v="2"/>
    <x v="0"/>
    <x v="1"/>
    <s v="California"/>
    <x v="17"/>
    <x v="3"/>
    <x v="11"/>
    <x v="2"/>
  </r>
  <r>
    <x v="2197"/>
    <x v="2"/>
    <x v="12"/>
    <n v="145.69999999999999"/>
    <x v="1654"/>
    <d v="2025-03-22T00:00:00"/>
    <x v="79"/>
    <x v="2"/>
    <x v="0"/>
    <x v="4"/>
    <s v="California"/>
    <x v="17"/>
    <x v="3"/>
    <x v="11"/>
    <x v="2"/>
  </r>
  <r>
    <x v="2198"/>
    <x v="12"/>
    <x v="1"/>
    <n v="78.5"/>
    <x v="1655"/>
    <d v="2025-03-22T00:00:00"/>
    <x v="79"/>
    <x v="1"/>
    <x v="2"/>
    <x v="0"/>
    <s v="California"/>
    <x v="26"/>
    <x v="3"/>
    <x v="11"/>
    <x v="1"/>
  </r>
  <r>
    <x v="2199"/>
    <x v="1"/>
    <x v="0"/>
    <n v="34.200000000000003"/>
    <x v="1656"/>
    <d v="2025-03-22T00:00:00"/>
    <x v="77"/>
    <x v="1"/>
    <x v="0"/>
    <x v="0"/>
    <s v="California"/>
    <x v="9"/>
    <x v="1"/>
    <x v="11"/>
    <x v="1"/>
  </r>
  <r>
    <x v="2200"/>
    <x v="19"/>
    <x v="0"/>
    <n v="26.2"/>
    <x v="1102"/>
    <d v="2025-03-22T00:00:00"/>
    <x v="79"/>
    <x v="1"/>
    <x v="2"/>
    <x v="0"/>
    <s v="California"/>
    <x v="9"/>
    <x v="3"/>
    <x v="11"/>
    <x v="1"/>
  </r>
  <r>
    <x v="2201"/>
    <x v="6"/>
    <x v="12"/>
    <n v="53.2"/>
    <x v="1547"/>
    <d v="2025-03-22T00:00:00"/>
    <x v="79"/>
    <x v="1"/>
    <x v="1"/>
    <x v="1"/>
    <s v="California"/>
    <x v="11"/>
    <x v="3"/>
    <x v="11"/>
    <x v="1"/>
  </r>
  <r>
    <x v="2202"/>
    <x v="1"/>
    <x v="0"/>
    <n v="35.4"/>
    <x v="1657"/>
    <d v="2025-03-22T00:00:00"/>
    <x v="81"/>
    <x v="1"/>
    <x v="1"/>
    <x v="4"/>
    <s v="California"/>
    <x v="18"/>
    <x v="5"/>
    <x v="11"/>
    <x v="1"/>
  </r>
  <r>
    <x v="2203"/>
    <x v="14"/>
    <x v="1"/>
    <n v="21.3"/>
    <x v="440"/>
    <d v="2025-03-22T00:00:00"/>
    <x v="79"/>
    <x v="1"/>
    <x v="2"/>
    <x v="0"/>
    <s v="California"/>
    <x v="20"/>
    <x v="3"/>
    <x v="11"/>
    <x v="1"/>
  </r>
  <r>
    <x v="2204"/>
    <x v="8"/>
    <x v="12"/>
    <n v="32.9"/>
    <x v="1423"/>
    <d v="2025-03-22T00:00:00"/>
    <x v="82"/>
    <x v="2"/>
    <x v="4"/>
    <x v="2"/>
    <s v="California"/>
    <x v="21"/>
    <x v="2"/>
    <x v="11"/>
    <x v="2"/>
  </r>
  <r>
    <x v="2205"/>
    <x v="5"/>
    <x v="20"/>
    <n v="85.5"/>
    <x v="1658"/>
    <d v="2025-03-22T00:00:00"/>
    <x v="77"/>
    <x v="2"/>
    <x v="3"/>
    <x v="1"/>
    <s v="California"/>
    <x v="21"/>
    <x v="1"/>
    <x v="11"/>
    <x v="2"/>
  </r>
  <r>
    <x v="2206"/>
    <x v="4"/>
    <x v="0"/>
    <n v="26.8"/>
    <x v="63"/>
    <d v="2025-03-22T00:00:00"/>
    <x v="79"/>
    <x v="2"/>
    <x v="0"/>
    <x v="1"/>
    <s v="California"/>
    <x v="2"/>
    <x v="3"/>
    <x v="11"/>
    <x v="2"/>
  </r>
  <r>
    <x v="2207"/>
    <x v="9"/>
    <x v="18"/>
    <n v="31.7"/>
    <x v="1659"/>
    <d v="2025-03-22T00:00:00"/>
    <x v="80"/>
    <x v="2"/>
    <x v="3"/>
    <x v="0"/>
    <s v="California"/>
    <x v="2"/>
    <x v="7"/>
    <x v="11"/>
    <x v="2"/>
  </r>
  <r>
    <x v="2208"/>
    <x v="1"/>
    <x v="1"/>
    <n v="78.3"/>
    <x v="1660"/>
    <d v="2025-03-22T00:00:00"/>
    <x v="77"/>
    <x v="2"/>
    <x v="1"/>
    <x v="1"/>
    <s v="California"/>
    <x v="3"/>
    <x v="1"/>
    <x v="11"/>
    <x v="2"/>
  </r>
  <r>
    <x v="2209"/>
    <x v="6"/>
    <x v="0"/>
    <n v="43.9"/>
    <x v="1661"/>
    <d v="2025-03-22T00:00:00"/>
    <x v="79"/>
    <x v="1"/>
    <x v="0"/>
    <x v="0"/>
    <s v="California"/>
    <x v="3"/>
    <x v="3"/>
    <x v="11"/>
    <x v="1"/>
  </r>
  <r>
    <x v="2210"/>
    <x v="18"/>
    <x v="2"/>
    <n v="84"/>
    <x v="816"/>
    <d v="2025-03-22T00:00:00"/>
    <x v="77"/>
    <x v="0"/>
    <x v="3"/>
    <x v="2"/>
    <s v="California"/>
    <x v="3"/>
    <x v="1"/>
    <x v="11"/>
    <x v="0"/>
  </r>
  <r>
    <x v="2211"/>
    <x v="0"/>
    <x v="2"/>
    <n v="11.4"/>
    <x v="1656"/>
    <d v="2025-03-22T00:00:00"/>
    <x v="79"/>
    <x v="1"/>
    <x v="4"/>
    <x v="0"/>
    <s v="California"/>
    <x v="3"/>
    <x v="3"/>
    <x v="11"/>
    <x v="1"/>
  </r>
  <r>
    <x v="2212"/>
    <x v="12"/>
    <x v="8"/>
    <n v="47.5"/>
    <x v="1662"/>
    <d v="2025-03-22T00:00:00"/>
    <x v="89"/>
    <x v="2"/>
    <x v="0"/>
    <x v="0"/>
    <s v="California"/>
    <x v="3"/>
    <x v="9"/>
    <x v="11"/>
    <x v="2"/>
  </r>
  <r>
    <x v="2213"/>
    <x v="9"/>
    <x v="5"/>
    <n v="50.5"/>
    <x v="1663"/>
    <d v="2025-03-22T00:00:00"/>
    <x v="77"/>
    <x v="1"/>
    <x v="2"/>
    <x v="0"/>
    <s v="California"/>
    <x v="3"/>
    <x v="1"/>
    <x v="11"/>
    <x v="1"/>
  </r>
  <r>
    <x v="2214"/>
    <x v="15"/>
    <x v="0"/>
    <n v="36.299999999999997"/>
    <x v="1277"/>
    <d v="2025-03-22T00:00:00"/>
    <x v="82"/>
    <x v="3"/>
    <x v="0"/>
    <x v="1"/>
    <s v="California"/>
    <x v="8"/>
    <x v="2"/>
    <x v="11"/>
    <x v="3"/>
  </r>
  <r>
    <x v="2215"/>
    <x v="8"/>
    <x v="1"/>
    <n v="35.4"/>
    <x v="1664"/>
    <d v="2025-03-22T00:00:00"/>
    <x v="79"/>
    <x v="2"/>
    <x v="0"/>
    <x v="0"/>
    <s v="California"/>
    <x v="17"/>
    <x v="3"/>
    <x v="11"/>
    <x v="2"/>
  </r>
  <r>
    <x v="2216"/>
    <x v="1"/>
    <x v="2"/>
    <n v="45.9"/>
    <x v="223"/>
    <d v="2025-03-23T00:00:00"/>
    <x v="77"/>
    <x v="1"/>
    <x v="3"/>
    <x v="0"/>
    <s v="California"/>
    <x v="9"/>
    <x v="3"/>
    <x v="12"/>
    <x v="1"/>
  </r>
  <r>
    <x v="2217"/>
    <x v="6"/>
    <x v="7"/>
    <n v="41.2"/>
    <x v="1665"/>
    <d v="2025-03-23T00:00:00"/>
    <x v="87"/>
    <x v="1"/>
    <x v="0"/>
    <x v="0"/>
    <s v="California"/>
    <x v="11"/>
    <x v="5"/>
    <x v="12"/>
    <x v="1"/>
  </r>
  <r>
    <x v="2218"/>
    <x v="17"/>
    <x v="1"/>
    <n v="45.1"/>
    <x v="244"/>
    <d v="2025-03-23T00:00:00"/>
    <x v="77"/>
    <x v="1"/>
    <x v="1"/>
    <x v="1"/>
    <s v="California"/>
    <x v="21"/>
    <x v="3"/>
    <x v="12"/>
    <x v="1"/>
  </r>
  <r>
    <x v="2219"/>
    <x v="6"/>
    <x v="7"/>
    <n v="63.6"/>
    <x v="1666"/>
    <d v="2025-03-23T00:00:00"/>
    <x v="79"/>
    <x v="1"/>
    <x v="2"/>
    <x v="0"/>
    <s v="California"/>
    <x v="1"/>
    <x v="7"/>
    <x v="12"/>
    <x v="1"/>
  </r>
  <r>
    <x v="2220"/>
    <x v="8"/>
    <x v="0"/>
    <n v="70.5"/>
    <x v="1012"/>
    <d v="2025-03-23T00:00:00"/>
    <x v="77"/>
    <x v="1"/>
    <x v="0"/>
    <x v="0"/>
    <s v="California"/>
    <x v="3"/>
    <x v="3"/>
    <x v="12"/>
    <x v="1"/>
  </r>
  <r>
    <x v="2221"/>
    <x v="6"/>
    <x v="0"/>
    <n v="41.3"/>
    <x v="1667"/>
    <d v="2025-03-23T00:00:00"/>
    <x v="79"/>
    <x v="1"/>
    <x v="4"/>
    <x v="0"/>
    <s v="California"/>
    <x v="3"/>
    <x v="7"/>
    <x v="12"/>
    <x v="1"/>
  </r>
  <r>
    <x v="2222"/>
    <x v="4"/>
    <x v="0"/>
    <n v="35.299999999999997"/>
    <x v="1668"/>
    <d v="2025-03-23T00:00:00"/>
    <x v="81"/>
    <x v="2"/>
    <x v="4"/>
    <x v="2"/>
    <s v="California"/>
    <x v="3"/>
    <x v="2"/>
    <x v="12"/>
    <x v="2"/>
  </r>
  <r>
    <x v="2223"/>
    <x v="8"/>
    <x v="9"/>
    <n v="34.700000000000003"/>
    <x v="1669"/>
    <d v="2025-03-23T00:00:00"/>
    <x v="77"/>
    <x v="2"/>
    <x v="0"/>
    <x v="2"/>
    <s v="California"/>
    <x v="3"/>
    <x v="3"/>
    <x v="12"/>
    <x v="2"/>
  </r>
  <r>
    <x v="2224"/>
    <x v="8"/>
    <x v="2"/>
    <n v="26.1"/>
    <x v="1670"/>
    <d v="2025-03-23T00:00:00"/>
    <x v="77"/>
    <x v="2"/>
    <x v="0"/>
    <x v="0"/>
    <s v="California"/>
    <x v="3"/>
    <x v="3"/>
    <x v="12"/>
    <x v="2"/>
  </r>
  <r>
    <x v="2225"/>
    <x v="9"/>
    <x v="9"/>
    <n v="22.6"/>
    <x v="548"/>
    <d v="2025-03-23T00:00:00"/>
    <x v="79"/>
    <x v="2"/>
    <x v="1"/>
    <x v="2"/>
    <s v="California"/>
    <x v="3"/>
    <x v="7"/>
    <x v="12"/>
    <x v="2"/>
  </r>
  <r>
    <x v="2226"/>
    <x v="2"/>
    <x v="1"/>
    <n v="154.4"/>
    <x v="1671"/>
    <d v="2025-03-23T00:00:00"/>
    <x v="81"/>
    <x v="1"/>
    <x v="1"/>
    <x v="1"/>
    <s v="California"/>
    <x v="3"/>
    <x v="2"/>
    <x v="12"/>
    <x v="1"/>
  </r>
  <r>
    <x v="2227"/>
    <x v="8"/>
    <x v="1"/>
    <n v="18.399999999999999"/>
    <x v="791"/>
    <d v="2025-03-23T00:00:00"/>
    <x v="77"/>
    <x v="1"/>
    <x v="0"/>
    <x v="0"/>
    <s v="California"/>
    <x v="3"/>
    <x v="3"/>
    <x v="12"/>
    <x v="1"/>
  </r>
  <r>
    <x v="2228"/>
    <x v="14"/>
    <x v="0"/>
    <n v="25"/>
    <x v="1672"/>
    <d v="2025-03-23T00:00:00"/>
    <x v="81"/>
    <x v="2"/>
    <x v="0"/>
    <x v="0"/>
    <s v="California"/>
    <x v="3"/>
    <x v="2"/>
    <x v="12"/>
    <x v="2"/>
  </r>
  <r>
    <x v="2229"/>
    <x v="2"/>
    <x v="13"/>
    <n v="105.6"/>
    <x v="1673"/>
    <d v="2025-03-23T00:00:00"/>
    <x v="79"/>
    <x v="2"/>
    <x v="0"/>
    <x v="0"/>
    <s v="California"/>
    <x v="3"/>
    <x v="7"/>
    <x v="12"/>
    <x v="2"/>
  </r>
  <r>
    <x v="2230"/>
    <x v="18"/>
    <x v="8"/>
    <n v="59.6"/>
    <x v="1674"/>
    <d v="2025-03-23T00:00:00"/>
    <x v="79"/>
    <x v="2"/>
    <x v="0"/>
    <x v="2"/>
    <s v="California"/>
    <x v="23"/>
    <x v="7"/>
    <x v="12"/>
    <x v="2"/>
  </r>
  <r>
    <x v="2231"/>
    <x v="15"/>
    <x v="2"/>
    <n v="75.400000000000006"/>
    <x v="1675"/>
    <d v="2025-03-23T00:00:00"/>
    <x v="86"/>
    <x v="1"/>
    <x v="0"/>
    <x v="1"/>
    <s v="California"/>
    <x v="7"/>
    <x v="0"/>
    <x v="12"/>
    <x v="1"/>
  </r>
  <r>
    <x v="2232"/>
    <x v="7"/>
    <x v="0"/>
    <n v="104.4"/>
    <x v="1652"/>
    <d v="2025-03-23T00:00:00"/>
    <x v="77"/>
    <x v="2"/>
    <x v="0"/>
    <x v="0"/>
    <s v="California"/>
    <x v="8"/>
    <x v="3"/>
    <x v="12"/>
    <x v="2"/>
  </r>
  <r>
    <x v="2233"/>
    <x v="2"/>
    <x v="7"/>
    <n v="208.2"/>
    <x v="1676"/>
    <d v="2025-03-23T00:00:00"/>
    <x v="77"/>
    <x v="1"/>
    <x v="0"/>
    <x v="2"/>
    <s v="California"/>
    <x v="8"/>
    <x v="3"/>
    <x v="12"/>
    <x v="1"/>
  </r>
  <r>
    <x v="2234"/>
    <x v="6"/>
    <x v="1"/>
    <n v="45"/>
    <x v="645"/>
    <d v="2025-03-23T00:00:00"/>
    <x v="81"/>
    <x v="2"/>
    <x v="0"/>
    <x v="0"/>
    <s v="California"/>
    <x v="10"/>
    <x v="2"/>
    <x v="12"/>
    <x v="2"/>
  </r>
  <r>
    <x v="2235"/>
    <x v="15"/>
    <x v="1"/>
    <n v="20.3"/>
    <x v="1352"/>
    <d v="2025-03-24T00:00:00"/>
    <x v="81"/>
    <x v="0"/>
    <x v="1"/>
    <x v="0"/>
    <s v="California"/>
    <x v="11"/>
    <x v="1"/>
    <x v="12"/>
    <x v="0"/>
  </r>
  <r>
    <x v="2236"/>
    <x v="2"/>
    <x v="2"/>
    <n v="94.4"/>
    <x v="1677"/>
    <d v="2025-03-24T00:00:00"/>
    <x v="82"/>
    <x v="2"/>
    <x v="0"/>
    <x v="2"/>
    <s v="California"/>
    <x v="11"/>
    <x v="3"/>
    <x v="12"/>
    <x v="2"/>
  </r>
  <r>
    <x v="2237"/>
    <x v="9"/>
    <x v="0"/>
    <n v="49"/>
    <x v="268"/>
    <d v="2025-03-24T00:00:00"/>
    <x v="81"/>
    <x v="2"/>
    <x v="0"/>
    <x v="2"/>
    <s v="California"/>
    <x v="20"/>
    <x v="1"/>
    <x v="12"/>
    <x v="2"/>
  </r>
  <r>
    <x v="2238"/>
    <x v="4"/>
    <x v="1"/>
    <n v="27.2"/>
    <x v="630"/>
    <d v="2025-03-24T00:00:00"/>
    <x v="81"/>
    <x v="1"/>
    <x v="0"/>
    <x v="2"/>
    <s v="California"/>
    <x v="1"/>
    <x v="1"/>
    <x v="12"/>
    <x v="1"/>
  </r>
  <r>
    <x v="2239"/>
    <x v="2"/>
    <x v="13"/>
    <n v="72.599999999999994"/>
    <x v="349"/>
    <d v="2025-03-24T00:00:00"/>
    <x v="82"/>
    <x v="2"/>
    <x v="0"/>
    <x v="2"/>
    <s v="California"/>
    <x v="2"/>
    <x v="3"/>
    <x v="12"/>
    <x v="2"/>
  </r>
  <r>
    <x v="2240"/>
    <x v="15"/>
    <x v="12"/>
    <n v="62.4"/>
    <x v="1267"/>
    <d v="2025-03-24T00:00:00"/>
    <x v="82"/>
    <x v="2"/>
    <x v="0"/>
    <x v="0"/>
    <s v="California"/>
    <x v="3"/>
    <x v="3"/>
    <x v="12"/>
    <x v="2"/>
  </r>
  <r>
    <x v="2241"/>
    <x v="8"/>
    <x v="2"/>
    <n v="19.100000000000001"/>
    <x v="1281"/>
    <d v="2025-03-24T00:00:00"/>
    <x v="81"/>
    <x v="1"/>
    <x v="0"/>
    <x v="1"/>
    <s v="California"/>
    <x v="3"/>
    <x v="1"/>
    <x v="12"/>
    <x v="1"/>
  </r>
  <r>
    <x v="2242"/>
    <x v="10"/>
    <x v="0"/>
    <n v="29.6"/>
    <x v="1678"/>
    <d v="2025-03-24T00:00:00"/>
    <x v="86"/>
    <x v="1"/>
    <x v="0"/>
    <x v="4"/>
    <s v="California"/>
    <x v="3"/>
    <x v="5"/>
    <x v="12"/>
    <x v="1"/>
  </r>
  <r>
    <x v="2243"/>
    <x v="8"/>
    <x v="1"/>
    <n v="18.899999999999999"/>
    <x v="463"/>
    <d v="2025-03-24T00:00:00"/>
    <x v="81"/>
    <x v="2"/>
    <x v="4"/>
    <x v="2"/>
    <s v="California"/>
    <x v="3"/>
    <x v="1"/>
    <x v="12"/>
    <x v="2"/>
  </r>
  <r>
    <x v="2244"/>
    <x v="10"/>
    <x v="9"/>
    <n v="41.4"/>
    <x v="461"/>
    <d v="2025-03-24T00:00:00"/>
    <x v="82"/>
    <x v="1"/>
    <x v="3"/>
    <x v="0"/>
    <s v="California"/>
    <x v="3"/>
    <x v="3"/>
    <x v="12"/>
    <x v="1"/>
  </r>
  <r>
    <x v="2245"/>
    <x v="2"/>
    <x v="0"/>
    <n v="118.4"/>
    <x v="1250"/>
    <d v="2025-03-24T00:00:00"/>
    <x v="82"/>
    <x v="2"/>
    <x v="0"/>
    <x v="2"/>
    <s v="California"/>
    <x v="3"/>
    <x v="3"/>
    <x v="12"/>
    <x v="2"/>
  </r>
  <r>
    <x v="2246"/>
    <x v="2"/>
    <x v="1"/>
    <n v="125.3"/>
    <x v="1679"/>
    <d v="2025-03-24T00:00:00"/>
    <x v="87"/>
    <x v="2"/>
    <x v="0"/>
    <x v="2"/>
    <s v="California"/>
    <x v="3"/>
    <x v="2"/>
    <x v="12"/>
    <x v="2"/>
  </r>
  <r>
    <x v="2247"/>
    <x v="3"/>
    <x v="1"/>
    <n v="85.8"/>
    <x v="1512"/>
    <d v="2025-03-24T00:00:00"/>
    <x v="82"/>
    <x v="2"/>
    <x v="1"/>
    <x v="4"/>
    <s v="California"/>
    <x v="3"/>
    <x v="3"/>
    <x v="12"/>
    <x v="2"/>
  </r>
  <r>
    <x v="2248"/>
    <x v="6"/>
    <x v="0"/>
    <n v="44.2"/>
    <x v="573"/>
    <d v="2025-03-24T00:00:00"/>
    <x v="87"/>
    <x v="1"/>
    <x v="1"/>
    <x v="0"/>
    <s v="California"/>
    <x v="3"/>
    <x v="2"/>
    <x v="12"/>
    <x v="1"/>
  </r>
  <r>
    <x v="2249"/>
    <x v="5"/>
    <x v="12"/>
    <n v="74.099999999999994"/>
    <x v="764"/>
    <d v="2025-03-24T00:00:00"/>
    <x v="81"/>
    <x v="2"/>
    <x v="0"/>
    <x v="0"/>
    <s v="California"/>
    <x v="3"/>
    <x v="1"/>
    <x v="12"/>
    <x v="2"/>
  </r>
  <r>
    <x v="2250"/>
    <x v="8"/>
    <x v="0"/>
    <n v="33.799999999999997"/>
    <x v="1680"/>
    <d v="2025-03-24T00:00:00"/>
    <x v="82"/>
    <x v="2"/>
    <x v="2"/>
    <x v="2"/>
    <s v="California"/>
    <x v="24"/>
    <x v="3"/>
    <x v="12"/>
    <x v="2"/>
  </r>
  <r>
    <x v="2251"/>
    <x v="1"/>
    <x v="1"/>
    <n v="39.1"/>
    <x v="1148"/>
    <d v="2025-03-24T00:00:00"/>
    <x v="82"/>
    <x v="1"/>
    <x v="0"/>
    <x v="1"/>
    <s v="California"/>
    <x v="24"/>
    <x v="3"/>
    <x v="12"/>
    <x v="1"/>
  </r>
  <r>
    <x v="2252"/>
    <x v="0"/>
    <x v="0"/>
    <n v="37.200000000000003"/>
    <x v="804"/>
    <d v="2025-03-24T00:00:00"/>
    <x v="82"/>
    <x v="1"/>
    <x v="0"/>
    <x v="1"/>
    <s v="California"/>
    <x v="16"/>
    <x v="3"/>
    <x v="12"/>
    <x v="1"/>
  </r>
  <r>
    <x v="2253"/>
    <x v="15"/>
    <x v="2"/>
    <n v="33.9"/>
    <x v="1681"/>
    <d v="2025-03-24T00:00:00"/>
    <x v="81"/>
    <x v="1"/>
    <x v="2"/>
    <x v="0"/>
    <s v="California"/>
    <x v="6"/>
    <x v="1"/>
    <x v="12"/>
    <x v="1"/>
  </r>
  <r>
    <x v="2254"/>
    <x v="7"/>
    <x v="20"/>
    <n v="73.3"/>
    <x v="1682"/>
    <d v="2025-03-24T00:00:00"/>
    <x v="87"/>
    <x v="2"/>
    <x v="2"/>
    <x v="1"/>
    <s v="California"/>
    <x v="8"/>
    <x v="2"/>
    <x v="12"/>
    <x v="2"/>
  </r>
  <r>
    <x v="2255"/>
    <x v="8"/>
    <x v="12"/>
    <n v="35"/>
    <x v="1683"/>
    <d v="2025-03-24T00:00:00"/>
    <x v="81"/>
    <x v="2"/>
    <x v="1"/>
    <x v="0"/>
    <s v="California"/>
    <x v="8"/>
    <x v="1"/>
    <x v="12"/>
    <x v="2"/>
  </r>
  <r>
    <x v="2256"/>
    <x v="0"/>
    <x v="2"/>
    <n v="22.2"/>
    <x v="815"/>
    <d v="2025-03-24T00:00:00"/>
    <x v="82"/>
    <x v="1"/>
    <x v="1"/>
    <x v="0"/>
    <s v="California"/>
    <x v="17"/>
    <x v="3"/>
    <x v="12"/>
    <x v="1"/>
  </r>
  <r>
    <x v="2257"/>
    <x v="10"/>
    <x v="0"/>
    <n v="32.4"/>
    <x v="1684"/>
    <d v="2025-03-24T00:00:00"/>
    <x v="82"/>
    <x v="2"/>
    <x v="0"/>
    <x v="0"/>
    <s v="California"/>
    <x v="11"/>
    <x v="3"/>
    <x v="12"/>
    <x v="2"/>
  </r>
  <r>
    <x v="2258"/>
    <x v="5"/>
    <x v="2"/>
    <n v="88.4"/>
    <x v="1685"/>
    <d v="2025-03-25T00:00:00"/>
    <x v="87"/>
    <x v="2"/>
    <x v="1"/>
    <x v="1"/>
    <s v="California"/>
    <x v="11"/>
    <x v="1"/>
    <x v="12"/>
    <x v="2"/>
  </r>
  <r>
    <x v="2259"/>
    <x v="5"/>
    <x v="27"/>
    <n v="30.5"/>
    <x v="865"/>
    <d v="2025-03-25T00:00:00"/>
    <x v="81"/>
    <x v="2"/>
    <x v="2"/>
    <x v="0"/>
    <s v="California"/>
    <x v="11"/>
    <x v="3"/>
    <x v="12"/>
    <x v="2"/>
  </r>
  <r>
    <x v="2260"/>
    <x v="1"/>
    <x v="13"/>
    <n v="38.1"/>
    <x v="1686"/>
    <d v="2025-03-25T00:00:00"/>
    <x v="87"/>
    <x v="2"/>
    <x v="0"/>
    <x v="1"/>
    <s v="California"/>
    <x v="11"/>
    <x v="1"/>
    <x v="12"/>
    <x v="2"/>
  </r>
  <r>
    <x v="2261"/>
    <x v="10"/>
    <x v="9"/>
    <n v="37.6"/>
    <x v="885"/>
    <d v="2025-03-25T00:00:00"/>
    <x v="90"/>
    <x v="1"/>
    <x v="0"/>
    <x v="0"/>
    <s v="California"/>
    <x v="11"/>
    <x v="5"/>
    <x v="12"/>
    <x v="1"/>
  </r>
  <r>
    <x v="2262"/>
    <x v="15"/>
    <x v="1"/>
    <n v="31.4"/>
    <x v="143"/>
    <d v="2025-03-25T00:00:00"/>
    <x v="81"/>
    <x v="1"/>
    <x v="0"/>
    <x v="2"/>
    <s v="California"/>
    <x v="11"/>
    <x v="3"/>
    <x v="12"/>
    <x v="1"/>
  </r>
  <r>
    <x v="2263"/>
    <x v="6"/>
    <x v="1"/>
    <n v="61.5"/>
    <x v="1287"/>
    <d v="2025-03-25T00:00:00"/>
    <x v="81"/>
    <x v="1"/>
    <x v="3"/>
    <x v="0"/>
    <s v="California"/>
    <x v="31"/>
    <x v="3"/>
    <x v="12"/>
    <x v="1"/>
  </r>
  <r>
    <x v="2264"/>
    <x v="6"/>
    <x v="0"/>
    <n v="72.599999999999994"/>
    <x v="1325"/>
    <d v="2025-03-25T00:00:00"/>
    <x v="81"/>
    <x v="1"/>
    <x v="0"/>
    <x v="1"/>
    <s v="California"/>
    <x v="21"/>
    <x v="3"/>
    <x v="12"/>
    <x v="1"/>
  </r>
  <r>
    <x v="2265"/>
    <x v="9"/>
    <x v="2"/>
    <n v="26.9"/>
    <x v="1687"/>
    <d v="2025-03-25T00:00:00"/>
    <x v="89"/>
    <x v="3"/>
    <x v="4"/>
    <x v="1"/>
    <s v="California"/>
    <x v="46"/>
    <x v="0"/>
    <x v="12"/>
    <x v="3"/>
  </r>
  <r>
    <x v="2266"/>
    <x v="17"/>
    <x v="4"/>
    <n v="29.4"/>
    <x v="1688"/>
    <d v="2025-03-25T00:00:00"/>
    <x v="81"/>
    <x v="2"/>
    <x v="1"/>
    <x v="0"/>
    <s v="California"/>
    <x v="51"/>
    <x v="3"/>
    <x v="12"/>
    <x v="2"/>
  </r>
  <r>
    <x v="2267"/>
    <x v="17"/>
    <x v="1"/>
    <n v="42.1"/>
    <x v="903"/>
    <d v="2025-03-25T00:00:00"/>
    <x v="81"/>
    <x v="2"/>
    <x v="3"/>
    <x v="1"/>
    <s v="California"/>
    <x v="1"/>
    <x v="3"/>
    <x v="12"/>
    <x v="2"/>
  </r>
  <r>
    <x v="2268"/>
    <x v="5"/>
    <x v="0"/>
    <n v="40.5"/>
    <x v="1117"/>
    <d v="2025-03-25T00:00:00"/>
    <x v="81"/>
    <x v="2"/>
    <x v="2"/>
    <x v="1"/>
    <s v="California"/>
    <x v="1"/>
    <x v="3"/>
    <x v="12"/>
    <x v="2"/>
  </r>
  <r>
    <x v="2269"/>
    <x v="2"/>
    <x v="12"/>
    <n v="182.3"/>
    <x v="1689"/>
    <d v="2025-03-25T00:00:00"/>
    <x v="81"/>
    <x v="2"/>
    <x v="1"/>
    <x v="0"/>
    <s v="California"/>
    <x v="1"/>
    <x v="3"/>
    <x v="12"/>
    <x v="2"/>
  </r>
  <r>
    <x v="2270"/>
    <x v="2"/>
    <x v="9"/>
    <n v="157"/>
    <x v="1690"/>
    <d v="2025-03-25T00:00:00"/>
    <x v="86"/>
    <x v="2"/>
    <x v="1"/>
    <x v="2"/>
    <s v="California"/>
    <x v="2"/>
    <x v="2"/>
    <x v="12"/>
    <x v="2"/>
  </r>
  <r>
    <x v="2271"/>
    <x v="17"/>
    <x v="9"/>
    <n v="45.2"/>
    <x v="326"/>
    <d v="2025-03-25T00:00:00"/>
    <x v="86"/>
    <x v="2"/>
    <x v="1"/>
    <x v="0"/>
    <s v="California"/>
    <x v="22"/>
    <x v="2"/>
    <x v="12"/>
    <x v="2"/>
  </r>
  <r>
    <x v="2272"/>
    <x v="15"/>
    <x v="12"/>
    <n v="27.4"/>
    <x v="1239"/>
    <d v="2025-03-25T00:00:00"/>
    <x v="87"/>
    <x v="2"/>
    <x v="0"/>
    <x v="0"/>
    <s v="California"/>
    <x v="3"/>
    <x v="1"/>
    <x v="12"/>
    <x v="2"/>
  </r>
  <r>
    <x v="2273"/>
    <x v="5"/>
    <x v="9"/>
    <n v="34.1"/>
    <x v="1691"/>
    <d v="2025-03-25T00:00:00"/>
    <x v="87"/>
    <x v="1"/>
    <x v="0"/>
    <x v="2"/>
    <s v="California"/>
    <x v="3"/>
    <x v="1"/>
    <x v="12"/>
    <x v="1"/>
  </r>
  <r>
    <x v="2274"/>
    <x v="0"/>
    <x v="1"/>
    <n v="26"/>
    <x v="1692"/>
    <d v="2025-03-25T00:00:00"/>
    <x v="87"/>
    <x v="1"/>
    <x v="2"/>
    <x v="1"/>
    <s v="California"/>
    <x v="3"/>
    <x v="1"/>
    <x v="12"/>
    <x v="1"/>
  </r>
  <r>
    <x v="2275"/>
    <x v="8"/>
    <x v="3"/>
    <n v="19.399999999999999"/>
    <x v="1693"/>
    <d v="2025-03-25T00:00:00"/>
    <x v="87"/>
    <x v="0"/>
    <x v="1"/>
    <x v="1"/>
    <s v="California"/>
    <x v="3"/>
    <x v="1"/>
    <x v="12"/>
    <x v="0"/>
  </r>
  <r>
    <x v="2276"/>
    <x v="16"/>
    <x v="2"/>
    <n v="30.3"/>
    <x v="407"/>
    <d v="2025-03-25T00:00:00"/>
    <x v="86"/>
    <x v="2"/>
    <x v="1"/>
    <x v="2"/>
    <s v="California"/>
    <x v="3"/>
    <x v="2"/>
    <x v="12"/>
    <x v="2"/>
  </r>
  <r>
    <x v="2277"/>
    <x v="2"/>
    <x v="2"/>
    <n v="101.4"/>
    <x v="1694"/>
    <d v="2025-03-25T00:00:00"/>
    <x v="81"/>
    <x v="1"/>
    <x v="0"/>
    <x v="0"/>
    <s v="California"/>
    <x v="3"/>
    <x v="3"/>
    <x v="12"/>
    <x v="1"/>
  </r>
  <r>
    <x v="2278"/>
    <x v="3"/>
    <x v="9"/>
    <n v="55.5"/>
    <x v="819"/>
    <d v="2025-03-25T00:00:00"/>
    <x v="86"/>
    <x v="1"/>
    <x v="1"/>
    <x v="0"/>
    <s v="California"/>
    <x v="24"/>
    <x v="2"/>
    <x v="12"/>
    <x v="1"/>
  </r>
  <r>
    <x v="2279"/>
    <x v="8"/>
    <x v="0"/>
    <n v="23.1"/>
    <x v="1695"/>
    <d v="2025-03-25T00:00:00"/>
    <x v="81"/>
    <x v="1"/>
    <x v="0"/>
    <x v="0"/>
    <s v="California"/>
    <x v="25"/>
    <x v="3"/>
    <x v="12"/>
    <x v="1"/>
  </r>
  <r>
    <x v="2280"/>
    <x v="18"/>
    <x v="1"/>
    <n v="38.9"/>
    <x v="482"/>
    <d v="2025-03-25T00:00:00"/>
    <x v="81"/>
    <x v="1"/>
    <x v="2"/>
    <x v="0"/>
    <s v="California"/>
    <x v="25"/>
    <x v="3"/>
    <x v="12"/>
    <x v="1"/>
  </r>
  <r>
    <x v="2281"/>
    <x v="6"/>
    <x v="11"/>
    <n v="116.3"/>
    <x v="1696"/>
    <d v="2025-03-25T00:00:00"/>
    <x v="90"/>
    <x v="2"/>
    <x v="0"/>
    <x v="0"/>
    <s v="California"/>
    <x v="5"/>
    <x v="5"/>
    <x v="12"/>
    <x v="2"/>
  </r>
  <r>
    <x v="2282"/>
    <x v="16"/>
    <x v="11"/>
    <n v="64.099999999999994"/>
    <x v="1697"/>
    <d v="2025-03-25T00:00:00"/>
    <x v="82"/>
    <x v="2"/>
    <x v="0"/>
    <x v="2"/>
    <s v="California"/>
    <x v="6"/>
    <x v="7"/>
    <x v="12"/>
    <x v="2"/>
  </r>
  <r>
    <x v="2283"/>
    <x v="2"/>
    <x v="13"/>
    <n v="109.2"/>
    <x v="1698"/>
    <d v="2025-03-25T00:00:00"/>
    <x v="87"/>
    <x v="1"/>
    <x v="0"/>
    <x v="1"/>
    <s v="California"/>
    <x v="8"/>
    <x v="1"/>
    <x v="12"/>
    <x v="1"/>
  </r>
  <r>
    <x v="2284"/>
    <x v="10"/>
    <x v="9"/>
    <n v="23.2"/>
    <x v="1699"/>
    <d v="2025-03-26T00:00:00"/>
    <x v="87"/>
    <x v="1"/>
    <x v="0"/>
    <x v="1"/>
    <s v="California"/>
    <x v="8"/>
    <x v="3"/>
    <x v="12"/>
    <x v="1"/>
  </r>
  <r>
    <x v="2285"/>
    <x v="18"/>
    <x v="13"/>
    <n v="81.2"/>
    <x v="1700"/>
    <d v="2025-03-26T00:00:00"/>
    <x v="86"/>
    <x v="1"/>
    <x v="2"/>
    <x v="2"/>
    <s v="California"/>
    <x v="8"/>
    <x v="1"/>
    <x v="12"/>
    <x v="1"/>
  </r>
  <r>
    <x v="2286"/>
    <x v="1"/>
    <x v="21"/>
    <n v="35.700000000000003"/>
    <x v="1701"/>
    <d v="2025-03-26T00:00:00"/>
    <x v="87"/>
    <x v="1"/>
    <x v="3"/>
    <x v="0"/>
    <s v="California"/>
    <x v="8"/>
    <x v="3"/>
    <x v="12"/>
    <x v="1"/>
  </r>
  <r>
    <x v="2287"/>
    <x v="7"/>
    <x v="1"/>
    <n v="44.5"/>
    <x v="1702"/>
    <d v="2025-03-26T00:00:00"/>
    <x v="90"/>
    <x v="1"/>
    <x v="4"/>
    <x v="0"/>
    <s v="California"/>
    <x v="9"/>
    <x v="2"/>
    <x v="12"/>
    <x v="1"/>
  </r>
  <r>
    <x v="2288"/>
    <x v="1"/>
    <x v="9"/>
    <n v="32"/>
    <x v="444"/>
    <d v="2025-03-26T00:00:00"/>
    <x v="86"/>
    <x v="3"/>
    <x v="1"/>
    <x v="1"/>
    <s v="California"/>
    <x v="9"/>
    <x v="1"/>
    <x v="12"/>
    <x v="3"/>
  </r>
  <r>
    <x v="2289"/>
    <x v="8"/>
    <x v="0"/>
    <n v="25.7"/>
    <x v="1703"/>
    <d v="2025-03-26T00:00:00"/>
    <x v="87"/>
    <x v="1"/>
    <x v="0"/>
    <x v="0"/>
    <s v="California"/>
    <x v="10"/>
    <x v="3"/>
    <x v="12"/>
    <x v="1"/>
  </r>
  <r>
    <x v="2290"/>
    <x v="16"/>
    <x v="2"/>
    <n v="65.599999999999994"/>
    <x v="487"/>
    <d v="2025-03-26T00:00:00"/>
    <x v="84"/>
    <x v="1"/>
    <x v="0"/>
    <x v="0"/>
    <s v="California"/>
    <x v="11"/>
    <x v="4"/>
    <x v="12"/>
    <x v="1"/>
  </r>
  <r>
    <x v="2291"/>
    <x v="1"/>
    <x v="12"/>
    <n v="52.1"/>
    <x v="1704"/>
    <d v="2025-03-26T00:00:00"/>
    <x v="87"/>
    <x v="2"/>
    <x v="0"/>
    <x v="2"/>
    <s v="California"/>
    <x v="11"/>
    <x v="3"/>
    <x v="12"/>
    <x v="2"/>
  </r>
  <r>
    <x v="2292"/>
    <x v="8"/>
    <x v="0"/>
    <n v="31"/>
    <x v="1705"/>
    <d v="2025-03-26T00:00:00"/>
    <x v="87"/>
    <x v="1"/>
    <x v="0"/>
    <x v="1"/>
    <s v="California"/>
    <x v="19"/>
    <x v="3"/>
    <x v="12"/>
    <x v="1"/>
  </r>
  <r>
    <x v="2293"/>
    <x v="8"/>
    <x v="0"/>
    <n v="32"/>
    <x v="109"/>
    <d v="2025-03-26T00:00:00"/>
    <x v="86"/>
    <x v="3"/>
    <x v="3"/>
    <x v="1"/>
    <s v="California"/>
    <x v="31"/>
    <x v="1"/>
    <x v="12"/>
    <x v="3"/>
  </r>
  <r>
    <x v="2294"/>
    <x v="16"/>
    <x v="12"/>
    <n v="58.3"/>
    <x v="1706"/>
    <d v="2025-03-26T00:00:00"/>
    <x v="89"/>
    <x v="1"/>
    <x v="1"/>
    <x v="4"/>
    <s v="California"/>
    <x v="20"/>
    <x v="5"/>
    <x v="12"/>
    <x v="1"/>
  </r>
  <r>
    <x v="2295"/>
    <x v="8"/>
    <x v="2"/>
    <n v="31"/>
    <x v="1707"/>
    <d v="2025-03-26T00:00:00"/>
    <x v="86"/>
    <x v="2"/>
    <x v="2"/>
    <x v="4"/>
    <s v="California"/>
    <x v="13"/>
    <x v="1"/>
    <x v="12"/>
    <x v="2"/>
  </r>
  <r>
    <x v="2296"/>
    <x v="3"/>
    <x v="0"/>
    <n v="40.299999999999997"/>
    <x v="518"/>
    <d v="2025-03-26T00:00:00"/>
    <x v="87"/>
    <x v="1"/>
    <x v="1"/>
    <x v="2"/>
    <s v="California"/>
    <x v="54"/>
    <x v="3"/>
    <x v="12"/>
    <x v="1"/>
  </r>
  <r>
    <x v="2297"/>
    <x v="6"/>
    <x v="2"/>
    <n v="47.3"/>
    <x v="1708"/>
    <d v="2025-03-26T00:00:00"/>
    <x v="86"/>
    <x v="1"/>
    <x v="4"/>
    <x v="2"/>
    <s v="California"/>
    <x v="2"/>
    <x v="1"/>
    <x v="12"/>
    <x v="1"/>
  </r>
  <r>
    <x v="2298"/>
    <x v="2"/>
    <x v="0"/>
    <n v="82.8"/>
    <x v="1182"/>
    <d v="2025-03-26T00:00:00"/>
    <x v="87"/>
    <x v="1"/>
    <x v="0"/>
    <x v="0"/>
    <s v="California"/>
    <x v="2"/>
    <x v="3"/>
    <x v="12"/>
    <x v="1"/>
  </r>
  <r>
    <x v="2299"/>
    <x v="8"/>
    <x v="0"/>
    <n v="18.5"/>
    <x v="1709"/>
    <d v="2025-03-26T00:00:00"/>
    <x v="91"/>
    <x v="2"/>
    <x v="0"/>
    <x v="0"/>
    <s v="California"/>
    <x v="44"/>
    <x v="12"/>
    <x v="12"/>
    <x v="2"/>
  </r>
  <r>
    <x v="2300"/>
    <x v="3"/>
    <x v="1"/>
    <n v="60.4"/>
    <x v="1710"/>
    <d v="2025-03-26T00:00:00"/>
    <x v="87"/>
    <x v="1"/>
    <x v="2"/>
    <x v="0"/>
    <s v="California"/>
    <x v="22"/>
    <x v="3"/>
    <x v="12"/>
    <x v="1"/>
  </r>
  <r>
    <x v="2301"/>
    <x v="6"/>
    <x v="9"/>
    <n v="80.2"/>
    <x v="1711"/>
    <d v="2025-03-26T00:00:00"/>
    <x v="92"/>
    <x v="1"/>
    <x v="1"/>
    <x v="1"/>
    <s v="California"/>
    <x v="50"/>
    <x v="6"/>
    <x v="12"/>
    <x v="1"/>
  </r>
  <r>
    <x v="2302"/>
    <x v="4"/>
    <x v="0"/>
    <n v="41.5"/>
    <x v="1712"/>
    <d v="2025-03-26T00:00:00"/>
    <x v="86"/>
    <x v="1"/>
    <x v="2"/>
    <x v="0"/>
    <s v="California"/>
    <x v="3"/>
    <x v="1"/>
    <x v="12"/>
    <x v="1"/>
  </r>
  <r>
    <x v="2303"/>
    <x v="2"/>
    <x v="1"/>
    <n v="83.9"/>
    <x v="1713"/>
    <d v="2025-03-26T00:00:00"/>
    <x v="90"/>
    <x v="2"/>
    <x v="0"/>
    <x v="0"/>
    <s v="California"/>
    <x v="3"/>
    <x v="2"/>
    <x v="12"/>
    <x v="2"/>
  </r>
  <r>
    <x v="2304"/>
    <x v="8"/>
    <x v="1"/>
    <n v="16.7"/>
    <x v="1417"/>
    <d v="2025-03-26T00:00:00"/>
    <x v="89"/>
    <x v="2"/>
    <x v="0"/>
    <x v="1"/>
    <s v="California"/>
    <x v="3"/>
    <x v="5"/>
    <x v="12"/>
    <x v="2"/>
  </r>
  <r>
    <x v="2305"/>
    <x v="9"/>
    <x v="1"/>
    <n v="72.900000000000006"/>
    <x v="1626"/>
    <d v="2025-03-26T00:00:00"/>
    <x v="87"/>
    <x v="1"/>
    <x v="2"/>
    <x v="1"/>
    <s v="California"/>
    <x v="3"/>
    <x v="3"/>
    <x v="12"/>
    <x v="1"/>
  </r>
  <r>
    <x v="2306"/>
    <x v="5"/>
    <x v="1"/>
    <n v="50.2"/>
    <x v="862"/>
    <d v="2025-03-26T00:00:00"/>
    <x v="86"/>
    <x v="2"/>
    <x v="1"/>
    <x v="2"/>
    <s v="California"/>
    <x v="3"/>
    <x v="1"/>
    <x v="12"/>
    <x v="2"/>
  </r>
  <r>
    <x v="2307"/>
    <x v="3"/>
    <x v="1"/>
    <n v="34.200000000000003"/>
    <x v="1714"/>
    <d v="2025-03-26T00:00:00"/>
    <x v="93"/>
    <x v="0"/>
    <x v="1"/>
    <x v="0"/>
    <s v="California"/>
    <x v="3"/>
    <x v="14"/>
    <x v="12"/>
    <x v="0"/>
  </r>
  <r>
    <x v="2308"/>
    <x v="5"/>
    <x v="1"/>
    <n v="107.9"/>
    <x v="1715"/>
    <d v="2025-03-26T00:00:00"/>
    <x v="81"/>
    <x v="1"/>
    <x v="1"/>
    <x v="4"/>
    <s v="California"/>
    <x v="3"/>
    <x v="7"/>
    <x v="12"/>
    <x v="1"/>
  </r>
  <r>
    <x v="2309"/>
    <x v="0"/>
    <x v="2"/>
    <n v="17.5"/>
    <x v="413"/>
    <d v="2025-03-26T00:00:00"/>
    <x v="86"/>
    <x v="1"/>
    <x v="4"/>
    <x v="0"/>
    <s v="California"/>
    <x v="3"/>
    <x v="1"/>
    <x v="12"/>
    <x v="1"/>
  </r>
  <r>
    <x v="2310"/>
    <x v="13"/>
    <x v="20"/>
    <n v="44.7"/>
    <x v="1716"/>
    <d v="2025-03-26T00:00:00"/>
    <x v="87"/>
    <x v="1"/>
    <x v="0"/>
    <x v="1"/>
    <s v="California"/>
    <x v="3"/>
    <x v="3"/>
    <x v="12"/>
    <x v="1"/>
  </r>
  <r>
    <x v="2311"/>
    <x v="12"/>
    <x v="13"/>
    <n v="92.7"/>
    <x v="1717"/>
    <d v="2025-03-26T00:00:00"/>
    <x v="86"/>
    <x v="2"/>
    <x v="2"/>
    <x v="1"/>
    <s v="California"/>
    <x v="3"/>
    <x v="1"/>
    <x v="12"/>
    <x v="2"/>
  </r>
  <r>
    <x v="2312"/>
    <x v="7"/>
    <x v="2"/>
    <n v="48.8"/>
    <x v="1718"/>
    <d v="2025-03-26T00:00:00"/>
    <x v="86"/>
    <x v="2"/>
    <x v="2"/>
    <x v="0"/>
    <s v="California"/>
    <x v="3"/>
    <x v="1"/>
    <x v="12"/>
    <x v="2"/>
  </r>
  <r>
    <x v="2313"/>
    <x v="4"/>
    <x v="27"/>
    <n v="21.3"/>
    <x v="1153"/>
    <d v="2025-03-26T00:00:00"/>
    <x v="89"/>
    <x v="2"/>
    <x v="3"/>
    <x v="3"/>
    <s v="California"/>
    <x v="3"/>
    <x v="5"/>
    <x v="12"/>
    <x v="2"/>
  </r>
  <r>
    <x v="2314"/>
    <x v="16"/>
    <x v="0"/>
    <n v="52.5"/>
    <x v="413"/>
    <d v="2025-03-26T00:00:00"/>
    <x v="87"/>
    <x v="2"/>
    <x v="0"/>
    <x v="0"/>
    <s v="California"/>
    <x v="3"/>
    <x v="3"/>
    <x v="12"/>
    <x v="2"/>
  </r>
  <r>
    <x v="2315"/>
    <x v="1"/>
    <x v="1"/>
    <n v="92.4"/>
    <x v="827"/>
    <d v="2025-03-26T00:00:00"/>
    <x v="84"/>
    <x v="2"/>
    <x v="0"/>
    <x v="2"/>
    <s v="California"/>
    <x v="3"/>
    <x v="4"/>
    <x v="12"/>
    <x v="2"/>
  </r>
  <r>
    <x v="2316"/>
    <x v="4"/>
    <x v="5"/>
    <n v="58.3"/>
    <x v="1719"/>
    <d v="2025-03-26T00:00:00"/>
    <x v="86"/>
    <x v="1"/>
    <x v="1"/>
    <x v="2"/>
    <s v="California"/>
    <x v="3"/>
    <x v="1"/>
    <x v="12"/>
    <x v="1"/>
  </r>
  <r>
    <x v="2317"/>
    <x v="6"/>
    <x v="44"/>
    <n v="152.6"/>
    <x v="1720"/>
    <d v="2025-03-27T00:00:00"/>
    <x v="90"/>
    <x v="0"/>
    <x v="0"/>
    <x v="0"/>
    <s v="California"/>
    <x v="3"/>
    <x v="1"/>
    <x v="12"/>
    <x v="0"/>
  </r>
  <r>
    <x v="2318"/>
    <x v="8"/>
    <x v="1"/>
    <n v="26"/>
    <x v="1692"/>
    <d v="2025-03-27T00:00:00"/>
    <x v="87"/>
    <x v="0"/>
    <x v="0"/>
    <x v="1"/>
    <s v="California"/>
    <x v="3"/>
    <x v="7"/>
    <x v="12"/>
    <x v="0"/>
  </r>
  <r>
    <x v="2319"/>
    <x v="1"/>
    <x v="12"/>
    <n v="33.1"/>
    <x v="979"/>
    <d v="2025-03-27T00:00:00"/>
    <x v="87"/>
    <x v="1"/>
    <x v="2"/>
    <x v="4"/>
    <s v="California"/>
    <x v="5"/>
    <x v="7"/>
    <x v="12"/>
    <x v="1"/>
  </r>
  <r>
    <x v="2320"/>
    <x v="18"/>
    <x v="0"/>
    <n v="51.4"/>
    <x v="1045"/>
    <d v="2025-03-27T00:00:00"/>
    <x v="90"/>
    <x v="2"/>
    <x v="1"/>
    <x v="1"/>
    <s v="California"/>
    <x v="5"/>
    <x v="1"/>
    <x v="12"/>
    <x v="2"/>
  </r>
  <r>
    <x v="2321"/>
    <x v="8"/>
    <x v="1"/>
    <n v="30.2"/>
    <x v="266"/>
    <d v="2025-03-27T00:00:00"/>
    <x v="86"/>
    <x v="2"/>
    <x v="2"/>
    <x v="2"/>
    <s v="California"/>
    <x v="6"/>
    <x v="3"/>
    <x v="12"/>
    <x v="2"/>
  </r>
  <r>
    <x v="2322"/>
    <x v="2"/>
    <x v="13"/>
    <n v="97"/>
    <x v="1544"/>
    <d v="2025-03-27T00:00:00"/>
    <x v="88"/>
    <x v="2"/>
    <x v="0"/>
    <x v="2"/>
    <s v="California"/>
    <x v="7"/>
    <x v="5"/>
    <x v="12"/>
    <x v="2"/>
  </r>
  <r>
    <x v="2323"/>
    <x v="2"/>
    <x v="0"/>
    <n v="76.900000000000006"/>
    <x v="1721"/>
    <d v="2025-03-27T00:00:00"/>
    <x v="86"/>
    <x v="1"/>
    <x v="1"/>
    <x v="2"/>
    <s v="California"/>
    <x v="8"/>
    <x v="3"/>
    <x v="12"/>
    <x v="1"/>
  </r>
  <r>
    <x v="2324"/>
    <x v="7"/>
    <x v="13"/>
    <n v="36.1"/>
    <x v="1722"/>
    <d v="2025-03-27T00:00:00"/>
    <x v="88"/>
    <x v="2"/>
    <x v="0"/>
    <x v="0"/>
    <s v="California"/>
    <x v="8"/>
    <x v="5"/>
    <x v="12"/>
    <x v="2"/>
  </r>
  <r>
    <x v="2325"/>
    <x v="1"/>
    <x v="3"/>
    <n v="34.4"/>
    <x v="1723"/>
    <d v="2025-03-27T00:00:00"/>
    <x v="87"/>
    <x v="2"/>
    <x v="2"/>
    <x v="1"/>
    <s v="California"/>
    <x v="11"/>
    <x v="7"/>
    <x v="12"/>
    <x v="2"/>
  </r>
  <r>
    <x v="2326"/>
    <x v="1"/>
    <x v="31"/>
    <n v="53.4"/>
    <x v="1724"/>
    <d v="2025-03-27T00:00:00"/>
    <x v="90"/>
    <x v="2"/>
    <x v="1"/>
    <x v="0"/>
    <s v="California"/>
    <x v="18"/>
    <x v="1"/>
    <x v="12"/>
    <x v="2"/>
  </r>
  <r>
    <x v="2327"/>
    <x v="2"/>
    <x v="0"/>
    <n v="77.599999999999994"/>
    <x v="1598"/>
    <d v="2025-03-27T00:00:00"/>
    <x v="86"/>
    <x v="2"/>
    <x v="0"/>
    <x v="1"/>
    <s v="California"/>
    <x v="19"/>
    <x v="3"/>
    <x v="12"/>
    <x v="2"/>
  </r>
  <r>
    <x v="2328"/>
    <x v="1"/>
    <x v="2"/>
    <n v="71.7"/>
    <x v="1725"/>
    <d v="2025-03-27T00:00:00"/>
    <x v="89"/>
    <x v="2"/>
    <x v="1"/>
    <x v="0"/>
    <s v="California"/>
    <x v="19"/>
    <x v="2"/>
    <x v="12"/>
    <x v="2"/>
  </r>
  <r>
    <x v="2329"/>
    <x v="3"/>
    <x v="2"/>
    <n v="80.599999999999994"/>
    <x v="1726"/>
    <d v="2025-03-27T00:00:00"/>
    <x v="86"/>
    <x v="1"/>
    <x v="4"/>
    <x v="1"/>
    <s v="California"/>
    <x v="19"/>
    <x v="3"/>
    <x v="12"/>
    <x v="1"/>
  </r>
  <r>
    <x v="2330"/>
    <x v="1"/>
    <x v="20"/>
    <n v="70"/>
    <x v="1727"/>
    <d v="2025-03-27T00:00:00"/>
    <x v="90"/>
    <x v="1"/>
    <x v="0"/>
    <x v="0"/>
    <s v="California"/>
    <x v="20"/>
    <x v="1"/>
    <x v="12"/>
    <x v="1"/>
  </r>
  <r>
    <x v="2331"/>
    <x v="4"/>
    <x v="13"/>
    <n v="27.3"/>
    <x v="1728"/>
    <d v="2025-03-27T00:00:00"/>
    <x v="90"/>
    <x v="2"/>
    <x v="1"/>
    <x v="1"/>
    <s v="California"/>
    <x v="2"/>
    <x v="1"/>
    <x v="12"/>
    <x v="2"/>
  </r>
  <r>
    <x v="2332"/>
    <x v="8"/>
    <x v="21"/>
    <n v="37.6"/>
    <x v="1729"/>
    <d v="2025-03-27T00:00:00"/>
    <x v="90"/>
    <x v="1"/>
    <x v="1"/>
    <x v="0"/>
    <s v="California"/>
    <x v="3"/>
    <x v="1"/>
    <x v="12"/>
    <x v="1"/>
  </r>
  <r>
    <x v="2333"/>
    <x v="5"/>
    <x v="2"/>
    <n v="36.6"/>
    <x v="17"/>
    <d v="2025-03-27T00:00:00"/>
    <x v="90"/>
    <x v="2"/>
    <x v="4"/>
    <x v="0"/>
    <s v="California"/>
    <x v="3"/>
    <x v="1"/>
    <x v="12"/>
    <x v="2"/>
  </r>
  <r>
    <x v="2334"/>
    <x v="13"/>
    <x v="0"/>
    <n v="55.2"/>
    <x v="291"/>
    <d v="2025-03-27T00:00:00"/>
    <x v="90"/>
    <x v="1"/>
    <x v="3"/>
    <x v="0"/>
    <s v="California"/>
    <x v="3"/>
    <x v="1"/>
    <x v="12"/>
    <x v="1"/>
  </r>
  <r>
    <x v="2335"/>
    <x v="6"/>
    <x v="9"/>
    <n v="59.9"/>
    <x v="1444"/>
    <d v="2025-03-27T00:00:00"/>
    <x v="90"/>
    <x v="1"/>
    <x v="0"/>
    <x v="0"/>
    <s v="California"/>
    <x v="3"/>
    <x v="1"/>
    <x v="12"/>
    <x v="1"/>
  </r>
  <r>
    <x v="2336"/>
    <x v="6"/>
    <x v="0"/>
    <n v="44"/>
    <x v="945"/>
    <d v="2025-03-27T00:00:00"/>
    <x v="86"/>
    <x v="2"/>
    <x v="2"/>
    <x v="2"/>
    <s v="California"/>
    <x v="3"/>
    <x v="3"/>
    <x v="12"/>
    <x v="2"/>
  </r>
  <r>
    <x v="2337"/>
    <x v="9"/>
    <x v="1"/>
    <n v="68.7"/>
    <x v="1730"/>
    <d v="2025-03-27T00:00:00"/>
    <x v="87"/>
    <x v="1"/>
    <x v="0"/>
    <x v="0"/>
    <s v="California"/>
    <x v="3"/>
    <x v="7"/>
    <x v="12"/>
    <x v="1"/>
  </r>
  <r>
    <x v="2338"/>
    <x v="5"/>
    <x v="1"/>
    <n v="61.6"/>
    <x v="1432"/>
    <d v="2025-03-27T00:00:00"/>
    <x v="88"/>
    <x v="1"/>
    <x v="3"/>
    <x v="1"/>
    <s v="California"/>
    <x v="3"/>
    <x v="5"/>
    <x v="12"/>
    <x v="1"/>
  </r>
  <r>
    <x v="2339"/>
    <x v="7"/>
    <x v="3"/>
    <n v="51.8"/>
    <x v="1731"/>
    <d v="2025-03-27T00:00:00"/>
    <x v="86"/>
    <x v="1"/>
    <x v="0"/>
    <x v="0"/>
    <s v="California"/>
    <x v="3"/>
    <x v="3"/>
    <x v="12"/>
    <x v="1"/>
  </r>
  <r>
    <x v="2340"/>
    <x v="8"/>
    <x v="7"/>
    <n v="46.2"/>
    <x v="1236"/>
    <d v="2025-03-27T00:00:00"/>
    <x v="90"/>
    <x v="1"/>
    <x v="1"/>
    <x v="2"/>
    <s v="California"/>
    <x v="3"/>
    <x v="1"/>
    <x v="12"/>
    <x v="1"/>
  </r>
  <r>
    <x v="2341"/>
    <x v="0"/>
    <x v="1"/>
    <n v="19.399999999999999"/>
    <x v="1732"/>
    <d v="2025-03-27T00:00:00"/>
    <x v="90"/>
    <x v="2"/>
    <x v="1"/>
    <x v="2"/>
    <s v="California"/>
    <x v="6"/>
    <x v="1"/>
    <x v="12"/>
    <x v="2"/>
  </r>
  <r>
    <x v="2342"/>
    <x v="11"/>
    <x v="2"/>
    <n v="52.1"/>
    <x v="1733"/>
    <d v="2025-03-27T00:00:00"/>
    <x v="89"/>
    <x v="1"/>
    <x v="3"/>
    <x v="3"/>
    <s v="California"/>
    <x v="6"/>
    <x v="2"/>
    <x v="12"/>
    <x v="1"/>
  </r>
  <r>
    <x v="2343"/>
    <x v="6"/>
    <x v="0"/>
    <n v="74.900000000000006"/>
    <x v="1734"/>
    <d v="2025-03-27T00:00:00"/>
    <x v="90"/>
    <x v="3"/>
    <x v="0"/>
    <x v="0"/>
    <s v="California"/>
    <x v="7"/>
    <x v="1"/>
    <x v="12"/>
    <x v="3"/>
  </r>
  <r>
    <x v="2344"/>
    <x v="9"/>
    <x v="3"/>
    <n v="49.6"/>
    <x v="1735"/>
    <d v="2025-03-27T00:00:00"/>
    <x v="89"/>
    <x v="2"/>
    <x v="4"/>
    <x v="0"/>
    <s v="California"/>
    <x v="8"/>
    <x v="2"/>
    <x v="12"/>
    <x v="2"/>
  </r>
  <r>
    <x v="2345"/>
    <x v="16"/>
    <x v="12"/>
    <n v="82.8"/>
    <x v="1736"/>
    <d v="2025-03-28T00:00:00"/>
    <x v="88"/>
    <x v="2"/>
    <x v="4"/>
    <x v="0"/>
    <s v="California"/>
    <x v="8"/>
    <x v="2"/>
    <x v="12"/>
    <x v="2"/>
  </r>
  <r>
    <x v="2346"/>
    <x v="2"/>
    <x v="0"/>
    <n v="97.7"/>
    <x v="68"/>
    <d v="2025-03-28T00:00:00"/>
    <x v="90"/>
    <x v="2"/>
    <x v="1"/>
    <x v="0"/>
    <s v="California"/>
    <x v="8"/>
    <x v="3"/>
    <x v="12"/>
    <x v="2"/>
  </r>
  <r>
    <x v="2347"/>
    <x v="6"/>
    <x v="9"/>
    <n v="83.6"/>
    <x v="378"/>
    <d v="2025-03-28T00:00:00"/>
    <x v="90"/>
    <x v="2"/>
    <x v="4"/>
    <x v="0"/>
    <s v="California"/>
    <x v="8"/>
    <x v="3"/>
    <x v="12"/>
    <x v="2"/>
  </r>
  <r>
    <x v="2348"/>
    <x v="8"/>
    <x v="9"/>
    <n v="23.5"/>
    <x v="1737"/>
    <d v="2025-03-28T00:00:00"/>
    <x v="84"/>
    <x v="3"/>
    <x v="0"/>
    <x v="0"/>
    <s v="California"/>
    <x v="8"/>
    <x v="5"/>
    <x v="12"/>
    <x v="3"/>
  </r>
  <r>
    <x v="2349"/>
    <x v="9"/>
    <x v="2"/>
    <n v="44.6"/>
    <x v="981"/>
    <d v="2025-03-28T00:00:00"/>
    <x v="88"/>
    <x v="2"/>
    <x v="4"/>
    <x v="1"/>
    <s v="California"/>
    <x v="26"/>
    <x v="2"/>
    <x v="12"/>
    <x v="2"/>
  </r>
  <r>
    <x v="2350"/>
    <x v="0"/>
    <x v="2"/>
    <n v="20.100000000000001"/>
    <x v="1738"/>
    <d v="2025-03-28T00:00:00"/>
    <x v="89"/>
    <x v="2"/>
    <x v="3"/>
    <x v="4"/>
    <s v="California"/>
    <x v="11"/>
    <x v="1"/>
    <x v="12"/>
    <x v="2"/>
  </r>
  <r>
    <x v="2351"/>
    <x v="2"/>
    <x v="9"/>
    <n v="153.6"/>
    <x v="1739"/>
    <d v="2025-03-28T00:00:00"/>
    <x v="90"/>
    <x v="2"/>
    <x v="1"/>
    <x v="2"/>
    <s v="California"/>
    <x v="53"/>
    <x v="3"/>
    <x v="12"/>
    <x v="2"/>
  </r>
  <r>
    <x v="2352"/>
    <x v="1"/>
    <x v="1"/>
    <n v="71.8"/>
    <x v="897"/>
    <d v="2025-03-28T00:00:00"/>
    <x v="84"/>
    <x v="2"/>
    <x v="1"/>
    <x v="0"/>
    <s v="California"/>
    <x v="1"/>
    <x v="5"/>
    <x v="12"/>
    <x v="2"/>
  </r>
  <r>
    <x v="2353"/>
    <x v="10"/>
    <x v="0"/>
    <n v="64.7"/>
    <x v="1740"/>
    <d v="2025-03-28T00:00:00"/>
    <x v="89"/>
    <x v="0"/>
    <x v="0"/>
    <x v="1"/>
    <s v="California"/>
    <x v="1"/>
    <x v="1"/>
    <x v="12"/>
    <x v="0"/>
  </r>
  <r>
    <x v="2354"/>
    <x v="9"/>
    <x v="8"/>
    <n v="60.4"/>
    <x v="1741"/>
    <d v="2025-03-28T00:00:00"/>
    <x v="89"/>
    <x v="2"/>
    <x v="3"/>
    <x v="2"/>
    <s v="California"/>
    <x v="2"/>
    <x v="1"/>
    <x v="12"/>
    <x v="2"/>
  </r>
  <r>
    <x v="2355"/>
    <x v="6"/>
    <x v="12"/>
    <n v="86"/>
    <x v="1213"/>
    <d v="2025-03-28T00:00:00"/>
    <x v="88"/>
    <x v="2"/>
    <x v="2"/>
    <x v="2"/>
    <s v="California"/>
    <x v="22"/>
    <x v="2"/>
    <x v="12"/>
    <x v="2"/>
  </r>
  <r>
    <x v="2356"/>
    <x v="12"/>
    <x v="1"/>
    <n v="42.1"/>
    <x v="903"/>
    <d v="2025-03-28T00:00:00"/>
    <x v="90"/>
    <x v="2"/>
    <x v="4"/>
    <x v="1"/>
    <s v="California"/>
    <x v="34"/>
    <x v="3"/>
    <x v="12"/>
    <x v="2"/>
  </r>
  <r>
    <x v="2357"/>
    <x v="16"/>
    <x v="11"/>
    <n v="51.1"/>
    <x v="1742"/>
    <d v="2025-03-28T00:00:00"/>
    <x v="90"/>
    <x v="1"/>
    <x v="2"/>
    <x v="1"/>
    <s v="California"/>
    <x v="3"/>
    <x v="3"/>
    <x v="12"/>
    <x v="1"/>
  </r>
  <r>
    <x v="2358"/>
    <x v="9"/>
    <x v="12"/>
    <n v="73.8"/>
    <x v="1743"/>
    <d v="2025-03-28T00:00:00"/>
    <x v="90"/>
    <x v="1"/>
    <x v="4"/>
    <x v="0"/>
    <s v="California"/>
    <x v="3"/>
    <x v="3"/>
    <x v="12"/>
    <x v="1"/>
  </r>
  <r>
    <x v="2359"/>
    <x v="8"/>
    <x v="9"/>
    <n v="27"/>
    <x v="340"/>
    <d v="2025-03-28T00:00:00"/>
    <x v="88"/>
    <x v="2"/>
    <x v="2"/>
    <x v="2"/>
    <s v="California"/>
    <x v="3"/>
    <x v="2"/>
    <x v="12"/>
    <x v="2"/>
  </r>
  <r>
    <x v="2360"/>
    <x v="8"/>
    <x v="13"/>
    <n v="60.1"/>
    <x v="116"/>
    <d v="2025-03-28T00:00:00"/>
    <x v="90"/>
    <x v="1"/>
    <x v="3"/>
    <x v="0"/>
    <s v="California"/>
    <x v="3"/>
    <x v="3"/>
    <x v="12"/>
    <x v="1"/>
  </r>
  <r>
    <x v="2361"/>
    <x v="2"/>
    <x v="3"/>
    <n v="94.1"/>
    <x v="1744"/>
    <d v="2025-03-28T00:00:00"/>
    <x v="89"/>
    <x v="2"/>
    <x v="4"/>
    <x v="1"/>
    <s v="California"/>
    <x v="3"/>
    <x v="1"/>
    <x v="12"/>
    <x v="2"/>
  </r>
  <r>
    <x v="2362"/>
    <x v="2"/>
    <x v="1"/>
    <n v="124.1"/>
    <x v="1235"/>
    <d v="2025-03-28T00:00:00"/>
    <x v="86"/>
    <x v="2"/>
    <x v="2"/>
    <x v="3"/>
    <s v="California"/>
    <x v="43"/>
    <x v="7"/>
    <x v="12"/>
    <x v="2"/>
  </r>
  <r>
    <x v="2363"/>
    <x v="8"/>
    <x v="12"/>
    <n v="16.899999999999999"/>
    <x v="821"/>
    <d v="2025-03-28T00:00:00"/>
    <x v="88"/>
    <x v="1"/>
    <x v="3"/>
    <x v="0"/>
    <s v="California"/>
    <x v="6"/>
    <x v="2"/>
    <x v="12"/>
    <x v="1"/>
  </r>
  <r>
    <x v="2364"/>
    <x v="1"/>
    <x v="0"/>
    <n v="36.9"/>
    <x v="1745"/>
    <d v="2025-03-28T00:00:00"/>
    <x v="90"/>
    <x v="1"/>
    <x v="0"/>
    <x v="0"/>
    <s v="California"/>
    <x v="6"/>
    <x v="3"/>
    <x v="12"/>
    <x v="1"/>
  </r>
  <r>
    <x v="2365"/>
    <x v="9"/>
    <x v="1"/>
    <n v="22.6"/>
    <x v="705"/>
    <d v="2025-03-28T00:00:00"/>
    <x v="94"/>
    <x v="2"/>
    <x v="2"/>
    <x v="1"/>
    <s v="California"/>
    <x v="8"/>
    <x v="10"/>
    <x v="12"/>
    <x v="2"/>
  </r>
  <r>
    <x v="2366"/>
    <x v="7"/>
    <x v="12"/>
    <n v="35"/>
    <x v="1683"/>
    <d v="2025-03-28T00:00:00"/>
    <x v="92"/>
    <x v="1"/>
    <x v="3"/>
    <x v="1"/>
    <s v="California"/>
    <x v="8"/>
    <x v="0"/>
    <x v="12"/>
    <x v="1"/>
  </r>
  <r>
    <x v="2367"/>
    <x v="9"/>
    <x v="13"/>
    <n v="63.6"/>
    <x v="1746"/>
    <d v="2025-03-28T00:00:00"/>
    <x v="95"/>
    <x v="0"/>
    <x v="1"/>
    <x v="2"/>
    <s v="California"/>
    <x v="8"/>
    <x v="6"/>
    <x v="12"/>
    <x v="0"/>
  </r>
  <r>
    <x v="2368"/>
    <x v="15"/>
    <x v="12"/>
    <n v="78.599999999999994"/>
    <x v="1747"/>
    <d v="2025-03-28T00:00:00"/>
    <x v="90"/>
    <x v="1"/>
    <x v="4"/>
    <x v="1"/>
    <s v="California"/>
    <x v="8"/>
    <x v="3"/>
    <x v="12"/>
    <x v="1"/>
  </r>
  <r>
    <x v="2369"/>
    <x v="3"/>
    <x v="1"/>
    <n v="38.5"/>
    <x v="445"/>
    <d v="2025-03-28T00:00:00"/>
    <x v="90"/>
    <x v="1"/>
    <x v="0"/>
    <x v="2"/>
    <s v="California"/>
    <x v="8"/>
    <x v="3"/>
    <x v="12"/>
    <x v="1"/>
  </r>
  <r>
    <x v="2370"/>
    <x v="8"/>
    <x v="5"/>
    <n v="71.5"/>
    <x v="1748"/>
    <d v="2025-03-28T00:00:00"/>
    <x v="90"/>
    <x v="2"/>
    <x v="1"/>
    <x v="4"/>
    <s v="California"/>
    <x v="8"/>
    <x v="3"/>
    <x v="12"/>
    <x v="2"/>
  </r>
  <r>
    <x v="2371"/>
    <x v="6"/>
    <x v="12"/>
    <n v="121.4"/>
    <x v="1749"/>
    <d v="2025-03-28T00:00:00"/>
    <x v="84"/>
    <x v="1"/>
    <x v="1"/>
    <x v="2"/>
    <s v="California"/>
    <x v="17"/>
    <x v="5"/>
    <x v="12"/>
    <x v="1"/>
  </r>
  <r>
    <x v="2372"/>
    <x v="11"/>
    <x v="0"/>
    <n v="40.200000000000003"/>
    <x v="282"/>
    <d v="2025-03-28T00:00:00"/>
    <x v="88"/>
    <x v="2"/>
    <x v="0"/>
    <x v="2"/>
    <s v="California"/>
    <x v="11"/>
    <x v="2"/>
    <x v="12"/>
    <x v="2"/>
  </r>
  <r>
    <x v="2373"/>
    <x v="5"/>
    <x v="9"/>
    <n v="31.9"/>
    <x v="1750"/>
    <d v="2025-03-28T00:00:00"/>
    <x v="89"/>
    <x v="2"/>
    <x v="2"/>
    <x v="2"/>
    <s v="California"/>
    <x v="28"/>
    <x v="1"/>
    <x v="12"/>
    <x v="2"/>
  </r>
  <r>
    <x v="2374"/>
    <x v="14"/>
    <x v="9"/>
    <n v="15.8"/>
    <x v="1751"/>
    <d v="2025-03-29T00:00:00"/>
    <x v="89"/>
    <x v="1"/>
    <x v="3"/>
    <x v="2"/>
    <s v="California"/>
    <x v="21"/>
    <x v="3"/>
    <x v="12"/>
    <x v="1"/>
  </r>
  <r>
    <x v="2375"/>
    <x v="10"/>
    <x v="1"/>
    <n v="25.1"/>
    <x v="486"/>
    <d v="2025-03-29T00:00:00"/>
    <x v="88"/>
    <x v="0"/>
    <x v="1"/>
    <x v="0"/>
    <s v="California"/>
    <x v="21"/>
    <x v="1"/>
    <x v="12"/>
    <x v="0"/>
  </r>
  <r>
    <x v="2376"/>
    <x v="1"/>
    <x v="44"/>
    <n v="38.1"/>
    <x v="1752"/>
    <d v="2025-03-29T00:00:00"/>
    <x v="89"/>
    <x v="2"/>
    <x v="4"/>
    <x v="0"/>
    <s v="California"/>
    <x v="1"/>
    <x v="3"/>
    <x v="12"/>
    <x v="2"/>
  </r>
  <r>
    <x v="2377"/>
    <x v="3"/>
    <x v="1"/>
    <n v="42.2"/>
    <x v="533"/>
    <d v="2025-03-29T00:00:00"/>
    <x v="88"/>
    <x v="2"/>
    <x v="0"/>
    <x v="2"/>
    <s v="California"/>
    <x v="1"/>
    <x v="1"/>
    <x v="12"/>
    <x v="2"/>
  </r>
  <r>
    <x v="2378"/>
    <x v="0"/>
    <x v="7"/>
    <n v="12.3"/>
    <x v="1287"/>
    <d v="2025-03-29T00:00:00"/>
    <x v="89"/>
    <x v="2"/>
    <x v="4"/>
    <x v="0"/>
    <s v="California"/>
    <x v="2"/>
    <x v="3"/>
    <x v="12"/>
    <x v="2"/>
  </r>
  <r>
    <x v="2379"/>
    <x v="7"/>
    <x v="0"/>
    <n v="30.2"/>
    <x v="242"/>
    <d v="2025-03-29T00:00:00"/>
    <x v="88"/>
    <x v="2"/>
    <x v="1"/>
    <x v="2"/>
    <s v="California"/>
    <x v="34"/>
    <x v="1"/>
    <x v="12"/>
    <x v="2"/>
  </r>
  <r>
    <x v="2380"/>
    <x v="5"/>
    <x v="2"/>
    <n v="25.3"/>
    <x v="1554"/>
    <d v="2025-03-29T00:00:00"/>
    <x v="84"/>
    <x v="2"/>
    <x v="2"/>
    <x v="0"/>
    <s v="California"/>
    <x v="3"/>
    <x v="2"/>
    <x v="12"/>
    <x v="2"/>
  </r>
  <r>
    <x v="2381"/>
    <x v="8"/>
    <x v="9"/>
    <n v="29.7"/>
    <x v="1753"/>
    <d v="2025-03-29T00:00:00"/>
    <x v="88"/>
    <x v="1"/>
    <x v="3"/>
    <x v="0"/>
    <s v="California"/>
    <x v="3"/>
    <x v="1"/>
    <x v="12"/>
    <x v="1"/>
  </r>
  <r>
    <x v="2382"/>
    <x v="9"/>
    <x v="8"/>
    <n v="32.9"/>
    <x v="1754"/>
    <d v="2025-03-29T00:00:00"/>
    <x v="89"/>
    <x v="0"/>
    <x v="3"/>
    <x v="2"/>
    <s v="California"/>
    <x v="3"/>
    <x v="3"/>
    <x v="12"/>
    <x v="0"/>
  </r>
  <r>
    <x v="2383"/>
    <x v="10"/>
    <x v="1"/>
    <n v="43.6"/>
    <x v="640"/>
    <d v="2025-03-29T00:00:00"/>
    <x v="89"/>
    <x v="1"/>
    <x v="1"/>
    <x v="2"/>
    <s v="California"/>
    <x v="3"/>
    <x v="3"/>
    <x v="12"/>
    <x v="1"/>
  </r>
  <r>
    <x v="2384"/>
    <x v="15"/>
    <x v="12"/>
    <n v="78.400000000000006"/>
    <x v="1755"/>
    <d v="2025-03-29T00:00:00"/>
    <x v="89"/>
    <x v="1"/>
    <x v="2"/>
    <x v="0"/>
    <s v="California"/>
    <x v="3"/>
    <x v="3"/>
    <x v="12"/>
    <x v="1"/>
  </r>
  <r>
    <x v="2385"/>
    <x v="6"/>
    <x v="1"/>
    <n v="56.5"/>
    <x v="548"/>
    <d v="2025-03-29T00:00:00"/>
    <x v="92"/>
    <x v="1"/>
    <x v="1"/>
    <x v="1"/>
    <s v="California"/>
    <x v="3"/>
    <x v="5"/>
    <x v="12"/>
    <x v="1"/>
  </r>
  <r>
    <x v="2386"/>
    <x v="16"/>
    <x v="0"/>
    <n v="36.700000000000003"/>
    <x v="329"/>
    <d v="2025-03-29T00:00:00"/>
    <x v="89"/>
    <x v="2"/>
    <x v="0"/>
    <x v="2"/>
    <s v="California"/>
    <x v="3"/>
    <x v="3"/>
    <x v="12"/>
    <x v="2"/>
  </r>
  <r>
    <x v="2387"/>
    <x v="2"/>
    <x v="12"/>
    <n v="103.6"/>
    <x v="1756"/>
    <d v="2025-03-29T00:00:00"/>
    <x v="91"/>
    <x v="1"/>
    <x v="4"/>
    <x v="2"/>
    <s v="California"/>
    <x v="3"/>
    <x v="11"/>
    <x v="12"/>
    <x v="1"/>
  </r>
  <r>
    <x v="2388"/>
    <x v="8"/>
    <x v="13"/>
    <n v="16.2"/>
    <x v="1757"/>
    <d v="2025-03-29T00:00:00"/>
    <x v="92"/>
    <x v="1"/>
    <x v="1"/>
    <x v="2"/>
    <s v="California"/>
    <x v="6"/>
    <x v="5"/>
    <x v="12"/>
    <x v="1"/>
  </r>
  <r>
    <x v="2389"/>
    <x v="8"/>
    <x v="1"/>
    <n v="20.2"/>
    <x v="1400"/>
    <d v="2025-03-29T00:00:00"/>
    <x v="89"/>
    <x v="2"/>
    <x v="0"/>
    <x v="0"/>
    <s v="California"/>
    <x v="6"/>
    <x v="3"/>
    <x v="12"/>
    <x v="2"/>
  </r>
  <r>
    <x v="2390"/>
    <x v="11"/>
    <x v="1"/>
    <n v="26.9"/>
    <x v="1758"/>
    <d v="2025-03-29T00:00:00"/>
    <x v="88"/>
    <x v="2"/>
    <x v="2"/>
    <x v="0"/>
    <s v="California"/>
    <x v="6"/>
    <x v="1"/>
    <x v="12"/>
    <x v="2"/>
  </r>
  <r>
    <x v="2391"/>
    <x v="1"/>
    <x v="1"/>
    <n v="82.4"/>
    <x v="1759"/>
    <d v="2025-03-29T00:00:00"/>
    <x v="84"/>
    <x v="0"/>
    <x v="0"/>
    <x v="0"/>
    <s v="California"/>
    <x v="7"/>
    <x v="2"/>
    <x v="12"/>
    <x v="0"/>
  </r>
  <r>
    <x v="2392"/>
    <x v="2"/>
    <x v="1"/>
    <n v="117.8"/>
    <x v="1760"/>
    <d v="2025-03-29T00:00:00"/>
    <x v="88"/>
    <x v="1"/>
    <x v="1"/>
    <x v="2"/>
    <s v="California"/>
    <x v="8"/>
    <x v="1"/>
    <x v="12"/>
    <x v="1"/>
  </r>
  <r>
    <x v="2393"/>
    <x v="11"/>
    <x v="12"/>
    <n v="36.700000000000003"/>
    <x v="1761"/>
    <d v="2025-03-29T00:00:00"/>
    <x v="89"/>
    <x v="1"/>
    <x v="1"/>
    <x v="0"/>
    <s v="California"/>
    <x v="8"/>
    <x v="3"/>
    <x v="12"/>
    <x v="1"/>
  </r>
  <r>
    <x v="2394"/>
    <x v="17"/>
    <x v="2"/>
    <n v="46.8"/>
    <x v="1762"/>
    <d v="2025-03-29T00:00:00"/>
    <x v="89"/>
    <x v="1"/>
    <x v="4"/>
    <x v="2"/>
    <s v="California"/>
    <x v="10"/>
    <x v="3"/>
    <x v="12"/>
    <x v="1"/>
  </r>
  <r>
    <x v="2395"/>
    <x v="3"/>
    <x v="0"/>
    <n v="61.4"/>
    <x v="886"/>
    <d v="2025-03-29T00:00:00"/>
    <x v="89"/>
    <x v="1"/>
    <x v="1"/>
    <x v="0"/>
    <s v="California"/>
    <x v="10"/>
    <x v="3"/>
    <x v="12"/>
    <x v="1"/>
  </r>
  <r>
    <x v="2396"/>
    <x v="15"/>
    <x v="1"/>
    <n v="22.9"/>
    <x v="494"/>
    <d v="2025-03-29T00:00:00"/>
    <x v="89"/>
    <x v="1"/>
    <x v="0"/>
    <x v="0"/>
    <s v="California"/>
    <x v="11"/>
    <x v="3"/>
    <x v="12"/>
    <x v="1"/>
  </r>
  <r>
    <x v="2397"/>
    <x v="10"/>
    <x v="1"/>
    <n v="22.1"/>
    <x v="573"/>
    <d v="2025-03-29T00:00:00"/>
    <x v="89"/>
    <x v="2"/>
    <x v="4"/>
    <x v="0"/>
    <s v="California"/>
    <x v="11"/>
    <x v="3"/>
    <x v="12"/>
    <x v="2"/>
  </r>
  <r>
    <x v="2398"/>
    <x v="12"/>
    <x v="1"/>
    <n v="31"/>
    <x v="85"/>
    <d v="2025-03-29T00:00:00"/>
    <x v="88"/>
    <x v="2"/>
    <x v="2"/>
    <x v="0"/>
    <s v="California"/>
    <x v="18"/>
    <x v="1"/>
    <x v="12"/>
    <x v="2"/>
  </r>
  <r>
    <x v="2399"/>
    <x v="18"/>
    <x v="1"/>
    <n v="84.2"/>
    <x v="1763"/>
    <d v="2025-03-29T00:00:00"/>
    <x v="88"/>
    <x v="1"/>
    <x v="2"/>
    <x v="2"/>
    <s v="California"/>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EA80F7-1F5F-42D3-ABE9-5306BA7D73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C21"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9">
        <item x="0"/>
        <item x="1"/>
        <item x="2"/>
        <item x="4"/>
        <item x="3"/>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52D679-EA18-4F59-B856-12405A6FA0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dataField="1"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dataField="1" showAll="0"/>
    <pivotField showAll="0"/>
    <pivotField showAll="0"/>
    <pivotField dataField="1" showAll="0"/>
    <pivotField showAll="0"/>
    <pivotField showAll="0"/>
    <pivotField showAll="0">
      <items count="9">
        <item x="0"/>
        <item x="1"/>
        <item x="2"/>
        <item x="4"/>
        <item x="3"/>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Count of Order Date" fld="5" subtotal="count" baseField="0" baseItem="0" numFmtId="164"/>
    <dataField name="Count of TX ID" fld="0" subtotal="count" baseField="0" baseItem="0" numFmtId="164"/>
    <dataField name="Sum of Quantity" fld="2" baseField="0" baseItem="0" numFmtId="164"/>
    <dataField name="Sum of Amount" fld="4" baseField="0" baseItem="0" numFmtId="164"/>
    <dataField name="Average of Rating C" fld="9" subtotal="average" baseField="0" baseItem="0" numFmtId="165"/>
    <dataField name="Average of Days to Deliver" fld="12" subtotal="average" baseField="0" baseItem="0" numFmtId="165"/>
  </dataFields>
  <formats count="6">
    <format dxfId="18">
      <pivotArea outline="0" collapsedLevelsAreSubtotals="1" fieldPosition="0">
        <references count="1">
          <reference field="4294967294" count="1" selected="0">
            <x v="3"/>
          </reference>
        </references>
      </pivotArea>
    </format>
    <format dxfId="17">
      <pivotArea outline="0" collapsedLevelsAreSubtotals="1" fieldPosition="0">
        <references count="1">
          <reference field="4294967294" count="1" selected="0">
            <x v="5"/>
          </reference>
        </references>
      </pivotArea>
    </format>
    <format dxfId="16">
      <pivotArea outline="0" collapsedLevelsAreSubtotals="1" fieldPosition="0">
        <references count="1">
          <reference field="4294967294" count="1" selected="0">
            <x v="4"/>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2A028A-210D-4FBE-B98E-FBE6D90AFA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9">
        <item x="0"/>
        <item x="1"/>
        <item x="2"/>
        <item x="4"/>
        <item x="3"/>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43FE54-1629-42B7-AEA7-98649242BE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pivotField axis="axisRow" showAll="0">
      <items count="9">
        <item x="0"/>
        <item x="1"/>
        <item x="2"/>
        <item x="4"/>
        <item x="3"/>
        <item n="6-10" x="5"/>
        <item n="11-30" x="6"/>
        <item n="31-87"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9">
    <i>
      <x/>
    </i>
    <i>
      <x v="1"/>
    </i>
    <i>
      <x v="2"/>
    </i>
    <i>
      <x v="3"/>
    </i>
    <i>
      <x v="4"/>
    </i>
    <i>
      <x v="5"/>
    </i>
    <i>
      <x v="6"/>
    </i>
    <i>
      <x v="7"/>
    </i>
    <i t="grand">
      <x/>
    </i>
  </rowItems>
  <colItems count="1">
    <i/>
  </colItems>
  <dataFields count="1">
    <dataField name="Count of TX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4E1D40-35FC-4174-A68A-A71921928F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axis="axisCol" showAll="0" sortType="descending">
      <items count="5">
        <item x="3"/>
        <item x="1"/>
        <item x="2"/>
        <item x="0"/>
        <item t="default"/>
      </items>
    </pivotField>
    <pivotField showAll="0">
      <items count="6">
        <item x="0"/>
        <item x="3"/>
        <item x="4"/>
        <item x="2"/>
        <item x="1"/>
        <item t="default"/>
      </items>
    </pivotField>
    <pivotField showAll="0"/>
    <pivotField showAll="0"/>
    <pivotField showAll="0"/>
    <pivotField showAll="0"/>
    <pivotField showAll="0"/>
    <pivotField showAll="0"/>
    <pivotField showAll="0">
      <items count="9">
        <item x="0"/>
        <item x="1"/>
        <item x="2"/>
        <item x="4"/>
        <item x="3"/>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3"/>
    </i>
    <i>
      <x v="6"/>
    </i>
    <i>
      <x v="16"/>
    </i>
    <i>
      <x v="18"/>
    </i>
    <i>
      <x v="5"/>
    </i>
    <i>
      <x v="14"/>
    </i>
    <i>
      <x v="11"/>
    </i>
    <i>
      <x v="1"/>
    </i>
    <i>
      <x v="8"/>
    </i>
    <i>
      <x v="2"/>
    </i>
    <i>
      <x v="4"/>
    </i>
    <i>
      <x v="3"/>
    </i>
    <i>
      <x v="19"/>
    </i>
    <i>
      <x v="12"/>
    </i>
    <i>
      <x v="10"/>
    </i>
    <i>
      <x v="9"/>
    </i>
    <i>
      <x v="15"/>
    </i>
    <i>
      <x v="17"/>
    </i>
    <i>
      <x/>
    </i>
    <i>
      <x v="7"/>
    </i>
    <i t="grand">
      <x/>
    </i>
  </rowItems>
  <colFields count="1">
    <field x="7"/>
  </colFields>
  <colItems count="5">
    <i>
      <x/>
    </i>
    <i>
      <x v="1"/>
    </i>
    <i>
      <x v="2"/>
    </i>
    <i>
      <x v="3"/>
    </i>
    <i t="grand">
      <x/>
    </i>
  </colItems>
  <dataFields count="1">
    <dataField name="Sum of Amount" fld="4" baseField="0" baseItem="0" numFmtId="1"/>
  </dataFields>
  <formats count="1">
    <format dxfId="10">
      <pivotArea outline="0" collapsedLevelsAreSubtotals="1" fieldPosition="0"/>
    </format>
  </format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11FB10-C28B-4297-8A31-3B0016DA98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9">
        <item x="0"/>
        <item x="1"/>
        <item x="2"/>
        <item x="4"/>
        <item x="3"/>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Amount" fld="4"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2" format="5">
      <pivotArea type="data" outline="0" fieldPosition="0">
        <references count="2">
          <reference field="4294967294" count="1" selected="0">
            <x v="0"/>
          </reference>
          <reference field="1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 chart="3" format="9">
      <pivotArea type="data" outline="0" fieldPosition="0">
        <references count="2">
          <reference field="4294967294" count="1" selected="0">
            <x v="0"/>
          </reference>
          <reference field="14" count="1" selected="0">
            <x v="2"/>
          </reference>
        </references>
      </pivotArea>
    </chartFormat>
    <chartFormat chart="3" format="10">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0"/>
          </reference>
        </references>
      </pivotArea>
    </chartFormat>
    <chartFormat chart="0" format="6">
      <pivotArea type="data" outline="0" fieldPosition="0">
        <references count="2">
          <reference field="4294967294" count="1" selected="0">
            <x v="0"/>
          </reference>
          <reference field="14" count="1" selected="0">
            <x v="1"/>
          </reference>
        </references>
      </pivotArea>
    </chartFormat>
    <chartFormat chart="0" format="7">
      <pivotArea type="data" outline="0" fieldPosition="0">
        <references count="2">
          <reference field="4294967294" count="1" selected="0">
            <x v="0"/>
          </reference>
          <reference field="14" count="1" selected="0">
            <x v="2"/>
          </reference>
        </references>
      </pivotArea>
    </chartFormat>
    <chartFormat chart="0" format="8">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DA5D53-7799-4900-B591-658F81CC99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2"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dataField="1" showAll="0">
      <items count="5">
        <item x="0"/>
        <item x="2"/>
        <item x="1"/>
        <item x="3"/>
        <item t="default"/>
      </items>
    </pivotField>
    <pivotField showAll="0">
      <items count="6">
        <item x="0"/>
        <item x="3"/>
        <item x="4"/>
        <item x="2"/>
        <item x="1"/>
        <item t="default"/>
      </items>
    </pivotField>
    <pivotField showAll="0"/>
    <pivotField showAll="0"/>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showAll="0">
      <items count="9">
        <item x="0"/>
        <item x="1"/>
        <item x="2"/>
        <item x="4"/>
        <item x="3"/>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Count of Customer Gend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D63159-35B1-4D6E-B1C0-82A34D4DDA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8">
        <item x="0"/>
        <item x="1"/>
        <item x="2"/>
        <item x="3"/>
        <item x="4"/>
        <item x="5"/>
        <item x="6"/>
        <item x="7"/>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BD5292-C46A-43E6-9354-74CE74211B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9"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pivotField showAll="0" defaultSubtotal="0">
      <items count="8">
        <item x="0"/>
        <item x="1"/>
        <item x="2"/>
        <item x="3"/>
        <item x="4"/>
        <item x="5"/>
        <item x="6"/>
        <item x="7"/>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17"/>
  </rowFields>
  <rowItems count="5">
    <i>
      <x v="1"/>
    </i>
    <i>
      <x v="2"/>
    </i>
    <i>
      <x v="3"/>
    </i>
    <i>
      <x v="4"/>
    </i>
    <i t="grand">
      <x/>
    </i>
  </rowItems>
  <colFields count="1">
    <field x="9"/>
  </colFields>
  <colItems count="6">
    <i>
      <x/>
    </i>
    <i>
      <x v="1"/>
    </i>
    <i>
      <x v="2"/>
    </i>
    <i>
      <x v="3"/>
    </i>
    <i>
      <x v="4"/>
    </i>
    <i t="grand">
      <x/>
    </i>
  </colItems>
  <dataFields count="1">
    <dataField name="Count of TX ID" fld="0" subtotal="count"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4" format="10" series="1">
      <pivotArea type="data" outline="0" fieldPosition="0">
        <references count="2">
          <reference field="4294967294" count="1" selected="0">
            <x v="0"/>
          </reference>
          <reference field="9" count="1" selected="0">
            <x v="0"/>
          </reference>
        </references>
      </pivotArea>
    </chartFormat>
    <chartFormat chart="4" format="11" series="1">
      <pivotArea type="data" outline="0" fieldPosition="0">
        <references count="2">
          <reference field="4294967294" count="1" selected="0">
            <x v="0"/>
          </reference>
          <reference field="9" count="1" selected="0">
            <x v="1"/>
          </reference>
        </references>
      </pivotArea>
    </chartFormat>
    <chartFormat chart="4" format="12" series="1">
      <pivotArea type="data" outline="0" fieldPosition="0">
        <references count="2">
          <reference field="4294967294" count="1" selected="0">
            <x v="0"/>
          </reference>
          <reference field="9" count="1" selected="0">
            <x v="2"/>
          </reference>
        </references>
      </pivotArea>
    </chartFormat>
    <chartFormat chart="4" format="13" series="1">
      <pivotArea type="data" outline="0" fieldPosition="0">
        <references count="2">
          <reference field="4294967294" count="1" selected="0">
            <x v="0"/>
          </reference>
          <reference field="9" count="1" selected="0">
            <x v="3"/>
          </reference>
        </references>
      </pivotArea>
    </chartFormat>
    <chartFormat chart="4"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3CE406-2ED8-44E0-B3DA-BC01BFA88ED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dataField="1" showAll="0"/>
    <pivotField showAll="0"/>
    <pivotField showAll="0"/>
    <pivotField dataField="1" showAll="0"/>
    <pivotField showAll="0"/>
    <pivotField showAll="0"/>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Sum of Quantity" fld="2" baseField="0" baseItem="0" numFmtId="164"/>
    <dataField name="Count of TX ID" fld="0" subtotal="count" baseField="0" baseItem="0" numFmtId="164"/>
    <dataField name="Average of Days to Deliver" fld="12" subtotal="average" baseField="0" baseItem="0" numFmtId="165"/>
    <dataField name="Sum of Amount" fld="4" baseField="0" baseItem="0" numFmtId="166"/>
    <dataField name="Average of Rating C" fld="9" subtotal="average" baseField="0" baseItem="0" numFmtId="165"/>
  </dataFields>
  <formats count="5">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4"/>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1F03643-C57B-493B-A7FA-BA9B4CB46606}" sourceName="Order Mode">
  <pivotTables>
    <pivotTable tabId="12" name="PivotTable5"/>
    <pivotTable tabId="5" name="PivotTable1"/>
    <pivotTable tabId="5" name="PivotTable2"/>
    <pivotTable tabId="6" name="PivotTable4"/>
    <pivotTable tabId="7" name="PivotTable5"/>
    <pivotTable tabId="8" name="PivotTable6"/>
    <pivotTable tabId="9" name="PivotTable7"/>
    <pivotTable tabId="10" name="PivotTable8"/>
    <pivotTable tabId="11" name="PivotTable4"/>
    <pivotTable tabId="13" name="PivotTable8"/>
  </pivotTables>
  <data>
    <tabular pivotCacheId="111751020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03C59156-B04F-4275-9379-04A26229DBA8}" sourceName="Customer Gender">
  <pivotTables>
    <pivotTable tabId="12" name="PivotTable5"/>
    <pivotTable tabId="5" name="PivotTable1"/>
    <pivotTable tabId="5" name="PivotTable2"/>
    <pivotTable tabId="6" name="PivotTable4"/>
    <pivotTable tabId="7" name="PivotTable5"/>
    <pivotTable tabId="8" name="PivotTable6"/>
    <pivotTable tabId="10" name="PivotTable8"/>
    <pivotTable tabId="11" name="PivotTable4"/>
    <pivotTable tabId="13" name="PivotTable8"/>
  </pivotTables>
  <data>
    <tabular pivotCacheId="111751020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9924CF9-6B7C-40E8-AF76-774D45F7839D}" cache="Slicer_Order_Mode" caption="Order Mode" rowHeight="247650"/>
  <slicer name="Customer Gender" xr10:uid="{D172747F-479D-4E31-8F91-A3945A0ADC7B}" cache="Slicer_Customer_Gender" caption="Customer 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E8B5F103-B92E-4378-8415-CD5F50113A0C}" cache="Slicer_Order_Mode" caption="Order Mode" rowHeight="247650"/>
  <slicer name="Customer Gender 1" xr10:uid="{6E67154E-A61F-4531-AB06-1635F1A2DE90}" cache="Slicer_Customer_Gender" caption="Customer 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DD19C-16D6-4340-B23A-4E01E5592565}">
  <sheetPr codeName="Sheet2"/>
  <dimension ref="A3:M21"/>
  <sheetViews>
    <sheetView topLeftCell="A2" workbookViewId="0">
      <selection activeCell="G15" sqref="G15"/>
    </sheetView>
  </sheetViews>
  <sheetFormatPr defaultRowHeight="14.4" x14ac:dyDescent="0.3"/>
  <cols>
    <col min="1" max="1" width="12.44140625" bestFit="1" customWidth="1"/>
    <col min="2" max="2" width="13.5546875" bestFit="1" customWidth="1"/>
    <col min="3" max="3" width="14.21875" bestFit="1" customWidth="1"/>
    <col min="4" max="4" width="13.5546875" bestFit="1" customWidth="1"/>
    <col min="5" max="5" width="16.6640625" bestFit="1" customWidth="1"/>
    <col min="6" max="6" width="22.33203125" bestFit="1" customWidth="1"/>
    <col min="7" max="2400" width="15.5546875" bestFit="1" customWidth="1"/>
    <col min="2401" max="2401" width="10.5546875" bestFit="1" customWidth="1"/>
  </cols>
  <sheetData>
    <row r="3" spans="1:13" x14ac:dyDescent="0.3">
      <c r="A3" t="s">
        <v>2523</v>
      </c>
      <c r="B3" t="s">
        <v>2520</v>
      </c>
      <c r="C3" t="s">
        <v>2522</v>
      </c>
      <c r="D3" t="s">
        <v>2521</v>
      </c>
      <c r="E3" t="s">
        <v>2524</v>
      </c>
      <c r="F3" t="s">
        <v>2525</v>
      </c>
      <c r="H3" s="9" t="s">
        <v>2504</v>
      </c>
      <c r="I3" s="9" t="s">
        <v>2505</v>
      </c>
      <c r="J3" s="9" t="s">
        <v>2506</v>
      </c>
      <c r="K3" s="9" t="s">
        <v>2507</v>
      </c>
      <c r="L3" s="9" t="s">
        <v>2508</v>
      </c>
      <c r="M3" s="8"/>
    </row>
    <row r="4" spans="1:13" x14ac:dyDescent="0.3">
      <c r="A4" s="6">
        <v>2400</v>
      </c>
      <c r="B4" s="6">
        <v>2400</v>
      </c>
      <c r="C4" s="6">
        <v>11997</v>
      </c>
      <c r="D4" s="6">
        <v>649019.80000000144</v>
      </c>
      <c r="E4" s="7">
        <v>3.9620833333333332</v>
      </c>
      <c r="F4" s="7">
        <v>2.3424999999999998</v>
      </c>
      <c r="H4" s="10">
        <f>GETPIVOTDATA("Count of TX ID",$A$3)</f>
        <v>2400</v>
      </c>
      <c r="I4" s="10">
        <f>GETPIVOTDATA("Sum of Quantity",$A$3)</f>
        <v>11997</v>
      </c>
      <c r="J4" s="12">
        <f>GETPIVOTDATA("Sum of Amount",$A$3)</f>
        <v>649019.80000000144</v>
      </c>
      <c r="K4" s="11">
        <f>GETPIVOTDATA("Average of Rating C",$A$3)</f>
        <v>3.9620833333333332</v>
      </c>
      <c r="L4" s="11">
        <f>GETPIVOTDATA("Average of Days to Deliver",$A$3)</f>
        <v>2.3424999999999998</v>
      </c>
    </row>
    <row r="7" spans="1:13" x14ac:dyDescent="0.3">
      <c r="A7" s="5" t="s">
        <v>2526</v>
      </c>
      <c r="B7" t="s">
        <v>2521</v>
      </c>
      <c r="C7" t="s">
        <v>2522</v>
      </c>
    </row>
    <row r="8" spans="1:13" x14ac:dyDescent="0.3">
      <c r="A8" s="13">
        <v>1</v>
      </c>
      <c r="B8">
        <v>32413.300000000003</v>
      </c>
      <c r="C8">
        <v>546</v>
      </c>
    </row>
    <row r="9" spans="1:13" x14ac:dyDescent="0.3">
      <c r="A9" s="13">
        <v>2</v>
      </c>
      <c r="B9">
        <v>49562.999999999993</v>
      </c>
      <c r="C9">
        <v>905</v>
      </c>
    </row>
    <row r="10" spans="1:13" x14ac:dyDescent="0.3">
      <c r="A10" s="13">
        <v>3</v>
      </c>
      <c r="B10">
        <v>41700.400000000016</v>
      </c>
      <c r="C10">
        <v>796</v>
      </c>
    </row>
    <row r="11" spans="1:13" x14ac:dyDescent="0.3">
      <c r="A11" s="13">
        <v>4</v>
      </c>
      <c r="B11">
        <v>46782.599999999984</v>
      </c>
      <c r="C11">
        <v>913</v>
      </c>
    </row>
    <row r="12" spans="1:13" x14ac:dyDescent="0.3">
      <c r="A12" s="13">
        <v>5</v>
      </c>
      <c r="B12">
        <v>42676.100000000006</v>
      </c>
      <c r="C12">
        <v>844</v>
      </c>
    </row>
    <row r="13" spans="1:13" x14ac:dyDescent="0.3">
      <c r="A13" s="13">
        <v>6</v>
      </c>
      <c r="B13">
        <v>62910.7</v>
      </c>
      <c r="C13">
        <v>1202</v>
      </c>
    </row>
    <row r="14" spans="1:13" x14ac:dyDescent="0.3">
      <c r="A14" s="13">
        <v>7</v>
      </c>
      <c r="B14">
        <v>50332.200000000004</v>
      </c>
      <c r="C14">
        <v>935</v>
      </c>
    </row>
    <row r="15" spans="1:13" x14ac:dyDescent="0.3">
      <c r="A15" s="13">
        <v>8</v>
      </c>
      <c r="B15">
        <v>58760.599999999977</v>
      </c>
      <c r="C15">
        <v>1128</v>
      </c>
    </row>
    <row r="16" spans="1:13" x14ac:dyDescent="0.3">
      <c r="A16" s="13">
        <v>9</v>
      </c>
      <c r="B16">
        <v>52017.299999999996</v>
      </c>
      <c r="C16">
        <v>1007</v>
      </c>
    </row>
    <row r="17" spans="1:3" x14ac:dyDescent="0.3">
      <c r="A17" s="13">
        <v>10</v>
      </c>
      <c r="B17">
        <v>64915.700000000033</v>
      </c>
      <c r="C17">
        <v>1128</v>
      </c>
    </row>
    <row r="18" spans="1:3" x14ac:dyDescent="0.3">
      <c r="A18" s="13">
        <v>11</v>
      </c>
      <c r="B18">
        <v>45943.80000000001</v>
      </c>
      <c r="C18">
        <v>861</v>
      </c>
    </row>
    <row r="19" spans="1:3" x14ac:dyDescent="0.3">
      <c r="A19" s="13">
        <v>12</v>
      </c>
      <c r="B19">
        <v>55077.900000000031</v>
      </c>
      <c r="C19">
        <v>944</v>
      </c>
    </row>
    <row r="20" spans="1:3" x14ac:dyDescent="0.3">
      <c r="A20" s="13">
        <v>13</v>
      </c>
      <c r="B20">
        <v>45926.19999999999</v>
      </c>
      <c r="C20">
        <v>788</v>
      </c>
    </row>
    <row r="21" spans="1:3" x14ac:dyDescent="0.3">
      <c r="A21" s="13" t="s">
        <v>2519</v>
      </c>
      <c r="B21">
        <v>649019.79999999993</v>
      </c>
      <c r="C21">
        <v>11997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A6E9-E744-42CA-87BF-2E9BFFAB75B1}">
  <dimension ref="A3:L10"/>
  <sheetViews>
    <sheetView workbookViewId="0">
      <selection activeCell="P12" sqref="P12"/>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s>
  <sheetData>
    <row r="3" spans="1:12" x14ac:dyDescent="0.3">
      <c r="A3" s="5" t="s">
        <v>2521</v>
      </c>
      <c r="B3" s="5" t="s">
        <v>2518</v>
      </c>
    </row>
    <row r="4" spans="1:12" x14ac:dyDescent="0.3">
      <c r="A4" s="5" t="s">
        <v>2526</v>
      </c>
      <c r="B4" t="s">
        <v>2527</v>
      </c>
      <c r="C4" t="s">
        <v>2528</v>
      </c>
      <c r="D4" t="s">
        <v>2529</v>
      </c>
      <c r="E4" t="s">
        <v>2530</v>
      </c>
      <c r="F4" t="s">
        <v>2519</v>
      </c>
      <c r="I4" t="str">
        <f>B4</f>
        <v>Female</v>
      </c>
      <c r="J4" t="str">
        <f t="shared" ref="J4:K5" si="0">C4</f>
        <v>Male</v>
      </c>
      <c r="K4" t="str">
        <f t="shared" si="0"/>
        <v>Other</v>
      </c>
      <c r="L4" t="str">
        <f>E4</f>
        <v>Unknown</v>
      </c>
    </row>
    <row r="5" spans="1:12" x14ac:dyDescent="0.3">
      <c r="A5" s="13" t="s">
        <v>18</v>
      </c>
      <c r="B5" s="15">
        <v>0.18961825201634841</v>
      </c>
      <c r="C5" s="15">
        <v>0.12262322351336576</v>
      </c>
      <c r="D5" s="15">
        <v>1.060537752469185E-2</v>
      </c>
      <c r="E5" s="15">
        <v>3.0599220547662797E-2</v>
      </c>
      <c r="F5" s="15">
        <v>0.35344607360206881</v>
      </c>
      <c r="H5" s="16" t="str">
        <f>A5</f>
        <v>App</v>
      </c>
      <c r="I5" s="16">
        <f t="shared" ref="I5" si="1">B5</f>
        <v>0.18961825201634841</v>
      </c>
      <c r="J5" s="16">
        <f t="shared" si="0"/>
        <v>0.12262322351336576</v>
      </c>
      <c r="K5" s="16">
        <f t="shared" si="0"/>
        <v>1.060537752469185E-2</v>
      </c>
      <c r="L5" s="16">
        <f t="shared" ref="L5" si="2">E5</f>
        <v>3.0599220547662797E-2</v>
      </c>
    </row>
    <row r="6" spans="1:12" x14ac:dyDescent="0.3">
      <c r="A6" s="13" t="s">
        <v>51</v>
      </c>
      <c r="B6" s="15">
        <v>5.0283982091147303E-2</v>
      </c>
      <c r="C6" s="15">
        <v>4.3060781812819873E-2</v>
      </c>
      <c r="D6" s="15">
        <v>1.5320025675641944E-3</v>
      </c>
      <c r="E6" s="15">
        <v>1.7794988689097006E-2</v>
      </c>
      <c r="F6" s="15">
        <v>0.11267175516062837</v>
      </c>
      <c r="H6" s="16" t="str">
        <f t="shared" ref="H6:H9" si="3">A6</f>
        <v>Instagram</v>
      </c>
      <c r="I6" s="16">
        <f t="shared" ref="I6:I9" si="4">B6</f>
        <v>5.0283982091147303E-2</v>
      </c>
      <c r="J6" s="16">
        <f t="shared" ref="J6:J9" si="5">C6</f>
        <v>4.3060781812819873E-2</v>
      </c>
      <c r="K6" s="16">
        <f t="shared" ref="K6:K9" si="6">D6</f>
        <v>1.5320025675641944E-3</v>
      </c>
      <c r="L6" s="16">
        <f t="shared" ref="L6:L9" si="7">E6</f>
        <v>1.7794988689097006E-2</v>
      </c>
    </row>
    <row r="7" spans="1:12" x14ac:dyDescent="0.3">
      <c r="A7" s="13" t="s">
        <v>70</v>
      </c>
      <c r="B7" s="15">
        <v>6.3496059750411282E-2</v>
      </c>
      <c r="C7" s="15">
        <v>4.6071629863988765E-2</v>
      </c>
      <c r="D7" s="15">
        <v>2.306247051322625E-3</v>
      </c>
      <c r="E7" s="15">
        <v>3.8927934093844286E-3</v>
      </c>
      <c r="F7" s="15">
        <v>0.11576673007510711</v>
      </c>
      <c r="H7" s="16" t="str">
        <f t="shared" si="3"/>
        <v>Partner App</v>
      </c>
      <c r="I7" s="16">
        <f t="shared" si="4"/>
        <v>6.3496059750411282E-2</v>
      </c>
      <c r="J7" s="16">
        <f t="shared" si="5"/>
        <v>4.6071629863988765E-2</v>
      </c>
      <c r="K7" s="16">
        <f t="shared" si="6"/>
        <v>2.306247051322625E-3</v>
      </c>
      <c r="L7" s="16">
        <f t="shared" si="7"/>
        <v>3.8927934093844286E-3</v>
      </c>
    </row>
    <row r="8" spans="1:12" x14ac:dyDescent="0.3">
      <c r="A8" s="13" t="s">
        <v>40</v>
      </c>
      <c r="B8" s="15">
        <v>9.6337892927149532E-2</v>
      </c>
      <c r="C8" s="15">
        <v>6.7920115842382611E-2</v>
      </c>
      <c r="D8" s="15">
        <v>5.4979832664581261E-3</v>
      </c>
      <c r="E8" s="15">
        <v>1.2933041488102518E-2</v>
      </c>
      <c r="F8" s="15">
        <v>0.1826890335240928</v>
      </c>
      <c r="H8" s="16" t="str">
        <f t="shared" si="3"/>
        <v>Target.com</v>
      </c>
      <c r="I8" s="16">
        <f t="shared" si="4"/>
        <v>9.6337892927149532E-2</v>
      </c>
      <c r="J8" s="16">
        <f t="shared" si="5"/>
        <v>6.7920115842382611E-2</v>
      </c>
      <c r="K8" s="16">
        <f t="shared" si="6"/>
        <v>5.4979832664581261E-3</v>
      </c>
      <c r="L8" s="16">
        <f t="shared" si="7"/>
        <v>1.2933041488102518E-2</v>
      </c>
    </row>
    <row r="9" spans="1:12" x14ac:dyDescent="0.3">
      <c r="A9" s="13" t="s">
        <v>35</v>
      </c>
      <c r="B9" s="15">
        <v>0.12522098709469262</v>
      </c>
      <c r="C9" s="15">
        <v>9.1492740283116228E-2</v>
      </c>
      <c r="D9" s="15">
        <v>6.3042760790965081E-3</v>
      </c>
      <c r="E9" s="15">
        <v>1.2408404181197551E-2</v>
      </c>
      <c r="F9" s="15">
        <v>0.23542640763810288</v>
      </c>
      <c r="H9" s="16" t="str">
        <f t="shared" si="3"/>
        <v>Website</v>
      </c>
      <c r="I9" s="16">
        <f t="shared" si="4"/>
        <v>0.12522098709469262</v>
      </c>
      <c r="J9" s="16">
        <f t="shared" si="5"/>
        <v>9.1492740283116228E-2</v>
      </c>
      <c r="K9" s="16">
        <f t="shared" si="6"/>
        <v>6.3042760790965081E-3</v>
      </c>
      <c r="L9" s="16">
        <f t="shared" si="7"/>
        <v>1.2408404181197551E-2</v>
      </c>
    </row>
    <row r="10" spans="1:12" x14ac:dyDescent="0.3">
      <c r="A10" s="13" t="s">
        <v>2519</v>
      </c>
      <c r="B10" s="15">
        <v>0.52495717387974916</v>
      </c>
      <c r="C10" s="15">
        <v>0.3711684913156732</v>
      </c>
      <c r="D10" s="15">
        <v>2.6245886489133303E-2</v>
      </c>
      <c r="E10" s="15">
        <v>7.7628448315444312E-2</v>
      </c>
      <c r="F10" s="15">
        <v>1</v>
      </c>
    </row>
  </sheetData>
  <conditionalFormatting sqref="I5:L9">
    <cfRule type="colorScale" priority="1">
      <colorScale>
        <cfvo type="min"/>
        <cfvo type="max"/>
        <color theme="6" tint="0.39997558519241921"/>
        <color theme="4" tint="0.59999389629810485"/>
      </colorScale>
    </cfRule>
    <cfRule type="colorScale" priority="2">
      <colorScale>
        <cfvo type="min"/>
        <cfvo type="max"/>
        <color rgb="FFF8696B"/>
        <color rgb="FFFCFCFF"/>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E060-E90C-41A1-9AF9-2EA380AABC7D}">
  <dimension ref="A3:B12"/>
  <sheetViews>
    <sheetView workbookViewId="0">
      <selection activeCell="N13" sqref="N13"/>
    </sheetView>
  </sheetViews>
  <sheetFormatPr defaultRowHeight="14.4" x14ac:dyDescent="0.3"/>
  <cols>
    <col min="1" max="1" width="12.44140625" bestFit="1" customWidth="1"/>
    <col min="2" max="2" width="12.21875" bestFit="1" customWidth="1"/>
  </cols>
  <sheetData>
    <row r="3" spans="1:2" x14ac:dyDescent="0.3">
      <c r="A3" s="5" t="s">
        <v>2526</v>
      </c>
      <c r="B3" t="s">
        <v>2520</v>
      </c>
    </row>
    <row r="4" spans="1:2" x14ac:dyDescent="0.3">
      <c r="A4" s="13">
        <v>1</v>
      </c>
      <c r="B4">
        <v>397</v>
      </c>
    </row>
    <row r="5" spans="1:2" x14ac:dyDescent="0.3">
      <c r="A5" s="13">
        <v>2</v>
      </c>
      <c r="B5">
        <v>540</v>
      </c>
    </row>
    <row r="6" spans="1:2" x14ac:dyDescent="0.3">
      <c r="A6" s="13">
        <v>3</v>
      </c>
      <c r="B6">
        <v>375</v>
      </c>
    </row>
    <row r="7" spans="1:2" x14ac:dyDescent="0.3">
      <c r="A7" s="13">
        <v>4</v>
      </c>
      <c r="B7">
        <v>246</v>
      </c>
    </row>
    <row r="8" spans="1:2" x14ac:dyDescent="0.3">
      <c r="A8" s="13">
        <v>5</v>
      </c>
      <c r="B8">
        <v>195</v>
      </c>
    </row>
    <row r="9" spans="1:2" x14ac:dyDescent="0.3">
      <c r="A9" s="13" t="s">
        <v>2532</v>
      </c>
      <c r="B9">
        <v>414</v>
      </c>
    </row>
    <row r="10" spans="1:2" x14ac:dyDescent="0.3">
      <c r="A10" s="13" t="s">
        <v>2533</v>
      </c>
      <c r="B10">
        <v>212</v>
      </c>
    </row>
    <row r="11" spans="1:2" x14ac:dyDescent="0.3">
      <c r="A11" s="13" t="s">
        <v>2534</v>
      </c>
      <c r="B11">
        <v>21</v>
      </c>
    </row>
    <row r="12" spans="1:2" x14ac:dyDescent="0.3">
      <c r="A12" s="13" t="s">
        <v>2519</v>
      </c>
      <c r="B12">
        <v>2400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4E57-5E6F-4C99-8CD3-2111D2CA510C}">
  <dimension ref="A3:F25"/>
  <sheetViews>
    <sheetView workbookViewId="0">
      <selection activeCell="C6" sqref="C6"/>
    </sheetView>
  </sheetViews>
  <sheetFormatPr defaultRowHeight="14.4" x14ac:dyDescent="0.3"/>
  <cols>
    <col min="1" max="1" width="19.109375" bestFit="1" customWidth="1"/>
    <col min="2" max="2" width="15.5546875" bestFit="1" customWidth="1"/>
    <col min="3" max="4" width="7" bestFit="1" customWidth="1"/>
    <col min="5" max="5" width="6" bestFit="1" customWidth="1"/>
    <col min="6" max="6" width="10.5546875" bestFit="1" customWidth="1"/>
  </cols>
  <sheetData>
    <row r="3" spans="1:6" x14ac:dyDescent="0.3">
      <c r="A3" s="5" t="s">
        <v>2521</v>
      </c>
      <c r="B3" s="5" t="s">
        <v>2518</v>
      </c>
    </row>
    <row r="4" spans="1:6" x14ac:dyDescent="0.3">
      <c r="A4" s="5" t="s">
        <v>2526</v>
      </c>
      <c r="B4" t="s">
        <v>89</v>
      </c>
      <c r="C4" t="s">
        <v>23</v>
      </c>
      <c r="D4" t="s">
        <v>27</v>
      </c>
      <c r="F4" t="s">
        <v>2519</v>
      </c>
    </row>
    <row r="5" spans="1:6" x14ac:dyDescent="0.3">
      <c r="A5" s="13" t="s">
        <v>26</v>
      </c>
      <c r="B5" s="14">
        <v>3173</v>
      </c>
      <c r="C5" s="14">
        <v>42922.100000000006</v>
      </c>
      <c r="D5" s="14">
        <v>65526.899999999987</v>
      </c>
      <c r="E5" s="14">
        <v>16015.5</v>
      </c>
      <c r="F5" s="14">
        <v>127637.5</v>
      </c>
    </row>
    <row r="6" spans="1:6" x14ac:dyDescent="0.3">
      <c r="A6" s="13" t="s">
        <v>39</v>
      </c>
      <c r="B6" s="14">
        <v>1788.7</v>
      </c>
      <c r="C6" s="14">
        <v>42448.80000000001</v>
      </c>
      <c r="D6" s="14">
        <v>51517.69999999999</v>
      </c>
      <c r="E6" s="14">
        <v>17138</v>
      </c>
      <c r="F6" s="14">
        <v>112893.2</v>
      </c>
    </row>
    <row r="7" spans="1:6" x14ac:dyDescent="0.3">
      <c r="A7" s="13" t="s">
        <v>22</v>
      </c>
      <c r="B7" s="14">
        <v>1304.5999999999999</v>
      </c>
      <c r="C7" s="14">
        <v>18378.100000000006</v>
      </c>
      <c r="D7" s="14">
        <v>36637.9</v>
      </c>
      <c r="E7" s="14">
        <v>1073.4000000000001</v>
      </c>
      <c r="F7" s="14">
        <v>57394.000000000007</v>
      </c>
    </row>
    <row r="8" spans="1:6" x14ac:dyDescent="0.3">
      <c r="A8" s="13" t="s">
        <v>44</v>
      </c>
      <c r="B8" s="14">
        <v>2266.7999999999997</v>
      </c>
      <c r="C8" s="14">
        <v>20907.899999999998</v>
      </c>
      <c r="D8" s="14">
        <v>23579</v>
      </c>
      <c r="E8" s="14">
        <v>2802.2000000000003</v>
      </c>
      <c r="F8" s="14">
        <v>49555.899999999994</v>
      </c>
    </row>
    <row r="9" spans="1:6" x14ac:dyDescent="0.3">
      <c r="A9" s="13" t="s">
        <v>42</v>
      </c>
      <c r="B9" s="14">
        <v>894</v>
      </c>
      <c r="C9" s="14">
        <v>17923.5</v>
      </c>
      <c r="D9" s="14">
        <v>15958.099999999999</v>
      </c>
      <c r="E9" s="14">
        <v>464.9</v>
      </c>
      <c r="F9" s="14">
        <v>35240.5</v>
      </c>
    </row>
    <row r="10" spans="1:6" x14ac:dyDescent="0.3">
      <c r="A10" s="13" t="s">
        <v>46</v>
      </c>
      <c r="B10" s="14">
        <v>656.7</v>
      </c>
      <c r="C10" s="14">
        <v>8644.8999999999978</v>
      </c>
      <c r="D10" s="14">
        <v>20737.599999999999</v>
      </c>
      <c r="E10" s="14">
        <v>2013.6000000000001</v>
      </c>
      <c r="F10" s="14">
        <v>32052.799999999996</v>
      </c>
    </row>
    <row r="11" spans="1:6" x14ac:dyDescent="0.3">
      <c r="A11" s="13" t="s">
        <v>37</v>
      </c>
      <c r="B11" s="14">
        <v>558.1</v>
      </c>
      <c r="C11" s="14">
        <v>13831.999999999996</v>
      </c>
      <c r="D11" s="14">
        <v>16244.9</v>
      </c>
      <c r="E11" s="14">
        <v>973.10000000000014</v>
      </c>
      <c r="F11" s="14">
        <v>31608.099999999995</v>
      </c>
    </row>
    <row r="12" spans="1:6" x14ac:dyDescent="0.3">
      <c r="A12" s="13" t="s">
        <v>54</v>
      </c>
      <c r="B12" s="14">
        <v>216.79999999999998</v>
      </c>
      <c r="C12" s="14">
        <v>11586.300000000001</v>
      </c>
      <c r="D12" s="14">
        <v>18259.300000000003</v>
      </c>
      <c r="E12" s="14">
        <v>774.40000000000009</v>
      </c>
      <c r="F12" s="14">
        <v>30836.800000000003</v>
      </c>
    </row>
    <row r="13" spans="1:6" x14ac:dyDescent="0.3">
      <c r="A13" s="13" t="s">
        <v>146</v>
      </c>
      <c r="B13" s="14">
        <v>606.79999999999995</v>
      </c>
      <c r="C13" s="14">
        <v>8705.9</v>
      </c>
      <c r="D13" s="14">
        <v>14225.499999999996</v>
      </c>
      <c r="E13" s="14">
        <v>1668.3000000000002</v>
      </c>
      <c r="F13" s="14">
        <v>25206.499999999996</v>
      </c>
    </row>
    <row r="14" spans="1:6" x14ac:dyDescent="0.3">
      <c r="A14" s="13" t="s">
        <v>69</v>
      </c>
      <c r="B14" s="14">
        <v>1415.4</v>
      </c>
      <c r="C14" s="14">
        <v>6208.1</v>
      </c>
      <c r="D14" s="14">
        <v>15491.400000000005</v>
      </c>
      <c r="E14" s="14">
        <v>1549.7</v>
      </c>
      <c r="F14" s="14">
        <v>24664.600000000006</v>
      </c>
    </row>
    <row r="15" spans="1:6" x14ac:dyDescent="0.3">
      <c r="A15" s="13" t="s">
        <v>32</v>
      </c>
      <c r="B15" s="14">
        <v>537.70000000000005</v>
      </c>
      <c r="C15" s="14">
        <v>6977.3</v>
      </c>
      <c r="D15" s="14">
        <v>15089.999999999995</v>
      </c>
      <c r="E15" s="14">
        <v>383.6</v>
      </c>
      <c r="F15" s="14">
        <v>22988.599999999991</v>
      </c>
    </row>
    <row r="16" spans="1:6" x14ac:dyDescent="0.3">
      <c r="A16" s="13" t="s">
        <v>123</v>
      </c>
      <c r="B16" s="14">
        <v>1310.3</v>
      </c>
      <c r="C16" s="14">
        <v>11228.900000000001</v>
      </c>
      <c r="D16" s="14">
        <v>7255.300000000002</v>
      </c>
      <c r="E16" s="14">
        <v>375.90000000000003</v>
      </c>
      <c r="F16" s="14">
        <v>20170.400000000005</v>
      </c>
    </row>
    <row r="17" spans="1:6" x14ac:dyDescent="0.3">
      <c r="A17" s="13" t="s">
        <v>30</v>
      </c>
      <c r="B17" s="14">
        <v>222.8</v>
      </c>
      <c r="C17" s="14">
        <v>6150.8</v>
      </c>
      <c r="D17" s="14">
        <v>8267.2000000000007</v>
      </c>
      <c r="E17" s="14">
        <v>2027.4</v>
      </c>
      <c r="F17" s="14">
        <v>16668.2</v>
      </c>
    </row>
    <row r="18" spans="1:6" x14ac:dyDescent="0.3">
      <c r="A18" s="13" t="s">
        <v>16</v>
      </c>
      <c r="B18" s="14"/>
      <c r="C18" s="14">
        <v>6373.0999999999995</v>
      </c>
      <c r="D18" s="14">
        <v>9612.6999999999953</v>
      </c>
      <c r="E18" s="14">
        <v>330.6</v>
      </c>
      <c r="F18" s="14">
        <v>16316.399999999996</v>
      </c>
    </row>
    <row r="19" spans="1:6" x14ac:dyDescent="0.3">
      <c r="A19" s="13" t="s">
        <v>135</v>
      </c>
      <c r="B19" s="14">
        <v>670.80000000000007</v>
      </c>
      <c r="C19" s="14">
        <v>4991</v>
      </c>
      <c r="D19" s="14">
        <v>4965.8</v>
      </c>
      <c r="E19" s="14">
        <v>636</v>
      </c>
      <c r="F19" s="14">
        <v>11263.6</v>
      </c>
    </row>
    <row r="20" spans="1:6" x14ac:dyDescent="0.3">
      <c r="A20" s="13" t="s">
        <v>67</v>
      </c>
      <c r="B20" s="14">
        <v>295.79999999999995</v>
      </c>
      <c r="C20" s="14">
        <v>3362.3000000000006</v>
      </c>
      <c r="D20" s="14">
        <v>7367.1</v>
      </c>
      <c r="E20" s="14"/>
      <c r="F20" s="14">
        <v>11025.2</v>
      </c>
    </row>
    <row r="21" spans="1:6" x14ac:dyDescent="0.3">
      <c r="A21" s="13" t="s">
        <v>128</v>
      </c>
      <c r="B21" s="14">
        <v>109.80000000000001</v>
      </c>
      <c r="C21" s="14">
        <v>3198.4</v>
      </c>
      <c r="D21" s="14">
        <v>5668.8999999999987</v>
      </c>
      <c r="E21" s="14">
        <v>1728.4</v>
      </c>
      <c r="F21" s="14">
        <v>10705.499999999998</v>
      </c>
    </row>
    <row r="22" spans="1:6" x14ac:dyDescent="0.3">
      <c r="A22" s="13" t="s">
        <v>76</v>
      </c>
      <c r="B22" s="14">
        <v>90.4</v>
      </c>
      <c r="C22" s="14">
        <v>3242.2</v>
      </c>
      <c r="D22" s="14">
        <v>2640.7999999999997</v>
      </c>
      <c r="E22" s="14">
        <v>315.20000000000005</v>
      </c>
      <c r="F22" s="14">
        <v>6288.5999999999995</v>
      </c>
    </row>
    <row r="23" spans="1:6" x14ac:dyDescent="0.3">
      <c r="A23" s="13" t="s">
        <v>81</v>
      </c>
      <c r="B23" s="14">
        <v>828.8</v>
      </c>
      <c r="C23" s="14">
        <v>2420.7000000000003</v>
      </c>
      <c r="D23" s="14">
        <v>1235.3</v>
      </c>
      <c r="E23" s="14">
        <v>112.19999999999999</v>
      </c>
      <c r="F23" s="14">
        <v>4597</v>
      </c>
    </row>
    <row r="24" spans="1:6" x14ac:dyDescent="0.3">
      <c r="A24" s="13" t="s">
        <v>171</v>
      </c>
      <c r="B24" s="14">
        <v>86.8</v>
      </c>
      <c r="C24" s="14">
        <v>1393.4</v>
      </c>
      <c r="D24" s="14">
        <v>426.2</v>
      </c>
      <c r="E24" s="14"/>
      <c r="F24" s="14">
        <v>1906.4</v>
      </c>
    </row>
    <row r="25" spans="1:6" x14ac:dyDescent="0.3">
      <c r="A25" s="13" t="s">
        <v>2519</v>
      </c>
      <c r="B25" s="14">
        <v>17034.099999999999</v>
      </c>
      <c r="C25" s="14">
        <v>240895.69999999998</v>
      </c>
      <c r="D25" s="14">
        <v>340707.6</v>
      </c>
      <c r="E25" s="14">
        <v>50382.399999999994</v>
      </c>
      <c r="F25" s="14">
        <v>649019.79999999993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F8A8-A1EE-4A0B-A644-E137F1F40130}">
  <dimension ref="A3:B8"/>
  <sheetViews>
    <sheetView workbookViewId="0">
      <selection activeCell="B5" sqref="B5"/>
    </sheetView>
  </sheetViews>
  <sheetFormatPr defaultRowHeight="14.4" x14ac:dyDescent="0.3"/>
  <cols>
    <col min="1" max="1" width="12.44140625" bestFit="1" customWidth="1"/>
    <col min="2" max="2" width="13.5546875" bestFit="1" customWidth="1"/>
  </cols>
  <sheetData>
    <row r="3" spans="1:2" x14ac:dyDescent="0.3">
      <c r="A3" s="5" t="s">
        <v>2526</v>
      </c>
      <c r="B3" t="s">
        <v>2521</v>
      </c>
    </row>
    <row r="4" spans="1:2" x14ac:dyDescent="0.3">
      <c r="A4" s="13" t="s">
        <v>2527</v>
      </c>
      <c r="B4" s="15">
        <v>0.52495717387974927</v>
      </c>
    </row>
    <row r="5" spans="1:2" x14ac:dyDescent="0.3">
      <c r="A5" s="13" t="s">
        <v>2528</v>
      </c>
      <c r="B5" s="15">
        <v>0.37116849131567309</v>
      </c>
    </row>
    <row r="6" spans="1:2" x14ac:dyDescent="0.3">
      <c r="A6" s="13" t="s">
        <v>2529</v>
      </c>
      <c r="B6" s="15">
        <v>2.6245886489133296E-2</v>
      </c>
    </row>
    <row r="7" spans="1:2" x14ac:dyDescent="0.3">
      <c r="A7" s="13" t="s">
        <v>2530</v>
      </c>
      <c r="B7" s="15">
        <v>7.7628448315444298E-2</v>
      </c>
    </row>
    <row r="8" spans="1:2" x14ac:dyDescent="0.3">
      <c r="A8" s="13" t="s">
        <v>2519</v>
      </c>
      <c r="B8" s="1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70B5-D16C-4AF9-8ECE-95851C849A07}">
  <dimension ref="A3:B62"/>
  <sheetViews>
    <sheetView workbookViewId="0">
      <selection activeCell="B14" sqref="B14"/>
    </sheetView>
  </sheetViews>
  <sheetFormatPr defaultRowHeight="14.4" x14ac:dyDescent="0.3"/>
  <cols>
    <col min="1" max="1" width="19.6640625" bestFit="1" customWidth="1"/>
    <col min="2" max="2" width="23" bestFit="1" customWidth="1"/>
  </cols>
  <sheetData>
    <row r="3" spans="1:2" x14ac:dyDescent="0.3">
      <c r="A3" s="5" t="s">
        <v>2526</v>
      </c>
      <c r="B3" t="s">
        <v>2531</v>
      </c>
    </row>
    <row r="4" spans="1:2" x14ac:dyDescent="0.3">
      <c r="A4" s="13" t="s">
        <v>115</v>
      </c>
      <c r="B4">
        <v>132</v>
      </c>
    </row>
    <row r="5" spans="1:2" x14ac:dyDescent="0.3">
      <c r="A5" s="13" t="s">
        <v>20</v>
      </c>
      <c r="B5">
        <v>1</v>
      </c>
    </row>
    <row r="6" spans="1:2" x14ac:dyDescent="0.3">
      <c r="A6" s="13" t="s">
        <v>641</v>
      </c>
      <c r="B6">
        <v>4</v>
      </c>
    </row>
    <row r="7" spans="1:2" x14ac:dyDescent="0.3">
      <c r="A7" s="13" t="s">
        <v>967</v>
      </c>
      <c r="B7">
        <v>5</v>
      </c>
    </row>
    <row r="8" spans="1:2" x14ac:dyDescent="0.3">
      <c r="A8" s="13" t="s">
        <v>84</v>
      </c>
      <c r="B8">
        <v>2</v>
      </c>
    </row>
    <row r="9" spans="1:2" x14ac:dyDescent="0.3">
      <c r="A9" s="13" t="s">
        <v>1383</v>
      </c>
      <c r="B9">
        <v>2</v>
      </c>
    </row>
    <row r="10" spans="1:2" x14ac:dyDescent="0.3">
      <c r="A10" s="13" t="s">
        <v>24</v>
      </c>
      <c r="B10">
        <v>83</v>
      </c>
    </row>
    <row r="11" spans="1:2" x14ac:dyDescent="0.3">
      <c r="A11" s="13" t="s">
        <v>2204</v>
      </c>
      <c r="B11">
        <v>1</v>
      </c>
    </row>
    <row r="12" spans="1:2" x14ac:dyDescent="0.3">
      <c r="A12" s="13" t="s">
        <v>437</v>
      </c>
      <c r="B12">
        <v>6</v>
      </c>
    </row>
    <row r="13" spans="1:2" x14ac:dyDescent="0.3">
      <c r="A13" s="13" t="s">
        <v>28</v>
      </c>
      <c r="B13">
        <v>52</v>
      </c>
    </row>
    <row r="14" spans="1:2" x14ac:dyDescent="0.3">
      <c r="A14" s="13" t="s">
        <v>208</v>
      </c>
      <c r="B14">
        <v>3</v>
      </c>
    </row>
    <row r="15" spans="1:2" x14ac:dyDescent="0.3">
      <c r="A15" s="13" t="s">
        <v>587</v>
      </c>
      <c r="B15">
        <v>12</v>
      </c>
    </row>
    <row r="16" spans="1:2" x14ac:dyDescent="0.3">
      <c r="A16" s="13" t="s">
        <v>331</v>
      </c>
      <c r="B16">
        <v>10</v>
      </c>
    </row>
    <row r="17" spans="1:2" x14ac:dyDescent="0.3">
      <c r="A17" s="13" t="s">
        <v>86</v>
      </c>
      <c r="B17">
        <v>2</v>
      </c>
    </row>
    <row r="18" spans="1:2" x14ac:dyDescent="0.3">
      <c r="A18" s="13" t="s">
        <v>147</v>
      </c>
      <c r="B18">
        <v>56</v>
      </c>
    </row>
    <row r="19" spans="1:2" x14ac:dyDescent="0.3">
      <c r="A19" s="13" t="s">
        <v>334</v>
      </c>
      <c r="B19">
        <v>14</v>
      </c>
    </row>
    <row r="20" spans="1:2" x14ac:dyDescent="0.3">
      <c r="A20" s="13" t="s">
        <v>949</v>
      </c>
      <c r="B20">
        <v>6</v>
      </c>
    </row>
    <row r="21" spans="1:2" x14ac:dyDescent="0.3">
      <c r="A21" s="13" t="s">
        <v>1426</v>
      </c>
      <c r="B21">
        <v>1</v>
      </c>
    </row>
    <row r="22" spans="1:2" x14ac:dyDescent="0.3">
      <c r="A22" s="13" t="s">
        <v>33</v>
      </c>
      <c r="B22">
        <v>781</v>
      </c>
    </row>
    <row r="23" spans="1:2" x14ac:dyDescent="0.3">
      <c r="A23" s="13" t="s">
        <v>364</v>
      </c>
      <c r="B23">
        <v>10</v>
      </c>
    </row>
    <row r="24" spans="1:2" x14ac:dyDescent="0.3">
      <c r="A24" s="13" t="s">
        <v>545</v>
      </c>
      <c r="B24">
        <v>8</v>
      </c>
    </row>
    <row r="25" spans="1:2" x14ac:dyDescent="0.3">
      <c r="A25" s="13" t="s">
        <v>416</v>
      </c>
      <c r="B25">
        <v>2</v>
      </c>
    </row>
    <row r="26" spans="1:2" x14ac:dyDescent="0.3">
      <c r="A26" s="13" t="s">
        <v>258</v>
      </c>
      <c r="B26">
        <v>3</v>
      </c>
    </row>
    <row r="27" spans="1:2" x14ac:dyDescent="0.3">
      <c r="A27" s="13" t="s">
        <v>186</v>
      </c>
      <c r="B27">
        <v>15</v>
      </c>
    </row>
    <row r="28" spans="1:2" x14ac:dyDescent="0.3">
      <c r="A28" s="13" t="s">
        <v>392</v>
      </c>
      <c r="B28">
        <v>1</v>
      </c>
    </row>
    <row r="29" spans="1:2" x14ac:dyDescent="0.3">
      <c r="A29" s="13" t="s">
        <v>670</v>
      </c>
      <c r="B29">
        <v>1</v>
      </c>
    </row>
    <row r="30" spans="1:2" x14ac:dyDescent="0.3">
      <c r="A30" s="13" t="s">
        <v>802</v>
      </c>
      <c r="B30">
        <v>5</v>
      </c>
    </row>
    <row r="31" spans="1:2" x14ac:dyDescent="0.3">
      <c r="A31" s="13" t="s">
        <v>98</v>
      </c>
      <c r="B31">
        <v>12</v>
      </c>
    </row>
    <row r="32" spans="1:2" x14ac:dyDescent="0.3">
      <c r="A32" s="13" t="s">
        <v>49</v>
      </c>
      <c r="B32">
        <v>8</v>
      </c>
    </row>
    <row r="33" spans="1:2" x14ac:dyDescent="0.3">
      <c r="A33" s="13" t="s">
        <v>188</v>
      </c>
      <c r="B33">
        <v>32</v>
      </c>
    </row>
    <row r="34" spans="1:2" x14ac:dyDescent="0.3">
      <c r="A34" s="13" t="s">
        <v>52</v>
      </c>
      <c r="B34">
        <v>22</v>
      </c>
    </row>
    <row r="35" spans="1:2" x14ac:dyDescent="0.3">
      <c r="A35" s="13" t="s">
        <v>338</v>
      </c>
      <c r="B35">
        <v>2</v>
      </c>
    </row>
    <row r="36" spans="1:2" x14ac:dyDescent="0.3">
      <c r="A36" s="13" t="s">
        <v>158</v>
      </c>
      <c r="B36">
        <v>26</v>
      </c>
    </row>
    <row r="37" spans="1:2" x14ac:dyDescent="0.3">
      <c r="A37" s="13" t="s">
        <v>55</v>
      </c>
      <c r="B37">
        <v>162</v>
      </c>
    </row>
    <row r="38" spans="1:2" x14ac:dyDescent="0.3">
      <c r="A38" s="13" t="s">
        <v>342</v>
      </c>
      <c r="B38">
        <v>6</v>
      </c>
    </row>
    <row r="39" spans="1:2" x14ac:dyDescent="0.3">
      <c r="A39" s="13" t="s">
        <v>59</v>
      </c>
      <c r="B39">
        <v>67</v>
      </c>
    </row>
    <row r="40" spans="1:2" x14ac:dyDescent="0.3">
      <c r="A40" s="13" t="s">
        <v>62</v>
      </c>
      <c r="B40">
        <v>330</v>
      </c>
    </row>
    <row r="41" spans="1:2" x14ac:dyDescent="0.3">
      <c r="A41" s="13" t="s">
        <v>103</v>
      </c>
      <c r="B41">
        <v>58</v>
      </c>
    </row>
    <row r="42" spans="1:2" x14ac:dyDescent="0.3">
      <c r="A42" s="13" t="s">
        <v>201</v>
      </c>
      <c r="B42">
        <v>17</v>
      </c>
    </row>
    <row r="43" spans="1:2" x14ac:dyDescent="0.3">
      <c r="A43" s="13" t="s">
        <v>429</v>
      </c>
      <c r="B43">
        <v>3</v>
      </c>
    </row>
    <row r="44" spans="1:2" x14ac:dyDescent="0.3">
      <c r="A44" s="13" t="s">
        <v>72</v>
      </c>
      <c r="B44">
        <v>67</v>
      </c>
    </row>
    <row r="45" spans="1:2" x14ac:dyDescent="0.3">
      <c r="A45" s="13" t="s">
        <v>74</v>
      </c>
      <c r="B45">
        <v>27</v>
      </c>
    </row>
    <row r="46" spans="1:2" x14ac:dyDescent="0.3">
      <c r="A46" s="13" t="s">
        <v>77</v>
      </c>
      <c r="B46">
        <v>135</v>
      </c>
    </row>
    <row r="47" spans="1:2" x14ac:dyDescent="0.3">
      <c r="A47" s="13" t="s">
        <v>309</v>
      </c>
      <c r="B47">
        <v>6</v>
      </c>
    </row>
    <row r="48" spans="1:2" x14ac:dyDescent="0.3">
      <c r="A48" s="13" t="s">
        <v>1116</v>
      </c>
      <c r="B48">
        <v>8</v>
      </c>
    </row>
    <row r="49" spans="1:2" x14ac:dyDescent="0.3">
      <c r="A49" s="13" t="s">
        <v>700</v>
      </c>
      <c r="B49">
        <v>1</v>
      </c>
    </row>
    <row r="50" spans="1:2" x14ac:dyDescent="0.3">
      <c r="A50" s="13" t="s">
        <v>268</v>
      </c>
      <c r="B50">
        <v>4</v>
      </c>
    </row>
    <row r="51" spans="1:2" x14ac:dyDescent="0.3">
      <c r="A51" s="13" t="s">
        <v>377</v>
      </c>
      <c r="B51">
        <v>5</v>
      </c>
    </row>
    <row r="52" spans="1:2" x14ac:dyDescent="0.3">
      <c r="A52" s="13" t="s">
        <v>108</v>
      </c>
      <c r="B52">
        <v>44</v>
      </c>
    </row>
    <row r="53" spans="1:2" x14ac:dyDescent="0.3">
      <c r="A53" s="13" t="s">
        <v>110</v>
      </c>
      <c r="B53">
        <v>51</v>
      </c>
    </row>
    <row r="54" spans="1:2" x14ac:dyDescent="0.3">
      <c r="A54" s="13" t="s">
        <v>292</v>
      </c>
      <c r="B54">
        <v>7</v>
      </c>
    </row>
    <row r="55" spans="1:2" x14ac:dyDescent="0.3">
      <c r="A55" s="13" t="s">
        <v>79</v>
      </c>
      <c r="B55">
        <v>2</v>
      </c>
    </row>
    <row r="56" spans="1:2" x14ac:dyDescent="0.3">
      <c r="A56" s="13" t="s">
        <v>608</v>
      </c>
      <c r="B56">
        <v>2</v>
      </c>
    </row>
    <row r="57" spans="1:2" x14ac:dyDescent="0.3">
      <c r="A57" s="13" t="s">
        <v>113</v>
      </c>
      <c r="B57">
        <v>25</v>
      </c>
    </row>
    <row r="58" spans="1:2" x14ac:dyDescent="0.3">
      <c r="A58" s="13" t="s">
        <v>997</v>
      </c>
      <c r="B58">
        <v>5</v>
      </c>
    </row>
    <row r="59" spans="1:2" x14ac:dyDescent="0.3">
      <c r="A59" s="13" t="s">
        <v>82</v>
      </c>
      <c r="B59">
        <v>42</v>
      </c>
    </row>
    <row r="60" spans="1:2" x14ac:dyDescent="0.3">
      <c r="A60" s="13" t="s">
        <v>243</v>
      </c>
      <c r="B60">
        <v>5</v>
      </c>
    </row>
    <row r="61" spans="1:2" x14ac:dyDescent="0.3">
      <c r="A61" s="13" t="s">
        <v>1911</v>
      </c>
      <c r="B61">
        <v>1</v>
      </c>
    </row>
    <row r="62" spans="1:2" x14ac:dyDescent="0.3">
      <c r="A62" s="13" t="s">
        <v>2519</v>
      </c>
      <c r="B62">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4F845-9930-4F24-A48B-ACDBBFC1210D}">
  <dimension ref="A3:B19"/>
  <sheetViews>
    <sheetView workbookViewId="0">
      <selection activeCell="A9" sqref="A4:A18"/>
    </sheetView>
  </sheetViews>
  <sheetFormatPr defaultRowHeight="14.4" x14ac:dyDescent="0.3"/>
  <cols>
    <col min="1" max="1" width="12.44140625" bestFit="1" customWidth="1"/>
    <col min="2" max="2" width="12.21875" bestFit="1" customWidth="1"/>
  </cols>
  <sheetData>
    <row r="3" spans="1:2" x14ac:dyDescent="0.3">
      <c r="A3" s="5" t="s">
        <v>2526</v>
      </c>
      <c r="B3" t="s">
        <v>2520</v>
      </c>
    </row>
    <row r="4" spans="1:2" x14ac:dyDescent="0.3">
      <c r="A4" s="13">
        <v>0</v>
      </c>
      <c r="B4">
        <v>175</v>
      </c>
    </row>
    <row r="5" spans="1:2" x14ac:dyDescent="0.3">
      <c r="A5" s="13">
        <v>1</v>
      </c>
      <c r="B5">
        <v>888</v>
      </c>
    </row>
    <row r="6" spans="1:2" x14ac:dyDescent="0.3">
      <c r="A6" s="13">
        <v>2</v>
      </c>
      <c r="B6">
        <v>538</v>
      </c>
    </row>
    <row r="7" spans="1:2" x14ac:dyDescent="0.3">
      <c r="A7" s="13">
        <v>3</v>
      </c>
      <c r="B7">
        <v>344</v>
      </c>
    </row>
    <row r="8" spans="1:2" x14ac:dyDescent="0.3">
      <c r="A8" s="13">
        <v>4</v>
      </c>
      <c r="B8">
        <v>200</v>
      </c>
    </row>
    <row r="9" spans="1:2" x14ac:dyDescent="0.3">
      <c r="A9" s="13">
        <v>5</v>
      </c>
      <c r="B9">
        <v>94</v>
      </c>
    </row>
    <row r="10" spans="1:2" x14ac:dyDescent="0.3">
      <c r="A10" s="13">
        <v>6</v>
      </c>
      <c r="B10">
        <v>51</v>
      </c>
    </row>
    <row r="11" spans="1:2" x14ac:dyDescent="0.3">
      <c r="A11" s="13">
        <v>7</v>
      </c>
      <c r="B11">
        <v>32</v>
      </c>
    </row>
    <row r="12" spans="1:2" x14ac:dyDescent="0.3">
      <c r="A12" s="13">
        <v>8</v>
      </c>
      <c r="B12">
        <v>23</v>
      </c>
    </row>
    <row r="13" spans="1:2" x14ac:dyDescent="0.3">
      <c r="A13" s="13">
        <v>9</v>
      </c>
      <c r="B13">
        <v>9</v>
      </c>
    </row>
    <row r="14" spans="1:2" x14ac:dyDescent="0.3">
      <c r="A14" s="13">
        <v>10</v>
      </c>
      <c r="B14">
        <v>8</v>
      </c>
    </row>
    <row r="15" spans="1:2" x14ac:dyDescent="0.3">
      <c r="A15" s="13">
        <v>11</v>
      </c>
      <c r="B15">
        <v>11</v>
      </c>
    </row>
    <row r="16" spans="1:2" x14ac:dyDescent="0.3">
      <c r="A16" s="13">
        <v>12</v>
      </c>
      <c r="B16">
        <v>4</v>
      </c>
    </row>
    <row r="17" spans="1:2" x14ac:dyDescent="0.3">
      <c r="A17" s="13">
        <v>13</v>
      </c>
      <c r="B17">
        <v>10</v>
      </c>
    </row>
    <row r="18" spans="1:2" x14ac:dyDescent="0.3">
      <c r="A18" s="13">
        <v>14</v>
      </c>
      <c r="B18">
        <v>13</v>
      </c>
    </row>
    <row r="19" spans="1:2" x14ac:dyDescent="0.3">
      <c r="A19" s="13" t="s">
        <v>2519</v>
      </c>
      <c r="B19">
        <v>2400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F9B3-C45F-46B4-B962-0FC0EE6BE533}">
  <dimension ref="A3:G9"/>
  <sheetViews>
    <sheetView workbookViewId="0">
      <selection activeCell="E4" sqref="E4"/>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s>
  <sheetData>
    <row r="3" spans="1:7" x14ac:dyDescent="0.3">
      <c r="A3" s="5" t="s">
        <v>2520</v>
      </c>
      <c r="B3" s="5" t="s">
        <v>2518</v>
      </c>
    </row>
    <row r="4" spans="1:7" x14ac:dyDescent="0.3">
      <c r="A4" s="5" t="s">
        <v>2526</v>
      </c>
      <c r="B4">
        <v>1</v>
      </c>
      <c r="C4">
        <v>2</v>
      </c>
      <c r="D4">
        <v>3</v>
      </c>
      <c r="E4">
        <v>4</v>
      </c>
      <c r="F4">
        <v>5</v>
      </c>
      <c r="G4" t="s">
        <v>2519</v>
      </c>
    </row>
    <row r="5" spans="1:7" x14ac:dyDescent="0.3">
      <c r="A5" s="13" t="s">
        <v>2535</v>
      </c>
      <c r="B5">
        <v>7</v>
      </c>
      <c r="C5">
        <v>35</v>
      </c>
      <c r="D5">
        <v>145</v>
      </c>
      <c r="E5">
        <v>293</v>
      </c>
      <c r="F5">
        <v>200</v>
      </c>
      <c r="G5">
        <v>680</v>
      </c>
    </row>
    <row r="6" spans="1:7" x14ac:dyDescent="0.3">
      <c r="A6" s="13" t="s">
        <v>2536</v>
      </c>
      <c r="B6">
        <v>5</v>
      </c>
      <c r="C6">
        <v>47</v>
      </c>
      <c r="D6">
        <v>179</v>
      </c>
      <c r="E6">
        <v>369</v>
      </c>
      <c r="F6">
        <v>248</v>
      </c>
      <c r="G6">
        <v>848</v>
      </c>
    </row>
    <row r="7" spans="1:7" x14ac:dyDescent="0.3">
      <c r="A7" s="13" t="s">
        <v>2537</v>
      </c>
      <c r="B7">
        <v>9</v>
      </c>
      <c r="C7">
        <v>45</v>
      </c>
      <c r="D7">
        <v>167</v>
      </c>
      <c r="E7">
        <v>366</v>
      </c>
      <c r="F7">
        <v>267</v>
      </c>
      <c r="G7">
        <v>854</v>
      </c>
    </row>
    <row r="8" spans="1:7" x14ac:dyDescent="0.3">
      <c r="A8" s="13" t="s">
        <v>2538</v>
      </c>
      <c r="D8">
        <v>4</v>
      </c>
      <c r="E8">
        <v>8</v>
      </c>
      <c r="F8">
        <v>6</v>
      </c>
      <c r="G8">
        <v>18</v>
      </c>
    </row>
    <row r="9" spans="1:7" x14ac:dyDescent="0.3">
      <c r="A9" s="13" t="s">
        <v>2519</v>
      </c>
      <c r="B9">
        <v>21</v>
      </c>
      <c r="C9">
        <v>127</v>
      </c>
      <c r="D9">
        <v>495</v>
      </c>
      <c r="E9">
        <v>1036</v>
      </c>
      <c r="F9">
        <v>721</v>
      </c>
      <c r="G9">
        <v>2400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6BB8C-641C-4E1E-85EC-8295A2D97955}">
  <dimension ref="A3:E4"/>
  <sheetViews>
    <sheetView workbookViewId="0">
      <selection activeCell="D4" sqref="D4"/>
    </sheetView>
  </sheetViews>
  <sheetFormatPr defaultRowHeight="14.4" x14ac:dyDescent="0.3"/>
  <cols>
    <col min="1" max="1" width="14.21875" bestFit="1" customWidth="1"/>
    <col min="2" max="2" width="12.21875" bestFit="1" customWidth="1"/>
    <col min="3" max="3" width="22.33203125" bestFit="1" customWidth="1"/>
    <col min="4" max="4" width="13.5546875" bestFit="1" customWidth="1"/>
    <col min="5" max="5" width="16.6640625" bestFit="1" customWidth="1"/>
  </cols>
  <sheetData>
    <row r="3" spans="1:5" x14ac:dyDescent="0.3">
      <c r="A3" t="s">
        <v>2522</v>
      </c>
      <c r="B3" t="s">
        <v>2520</v>
      </c>
      <c r="C3" t="s">
        <v>2525</v>
      </c>
      <c r="D3" t="s">
        <v>2521</v>
      </c>
      <c r="E3" t="s">
        <v>2524</v>
      </c>
    </row>
    <row r="4" spans="1:5" x14ac:dyDescent="0.3">
      <c r="A4" s="6">
        <v>11997</v>
      </c>
      <c r="B4" s="6">
        <v>2400</v>
      </c>
      <c r="C4" s="7">
        <v>2.3424999999999998</v>
      </c>
      <c r="D4" s="17">
        <v>649019.80000000144</v>
      </c>
      <c r="E4" s="7">
        <v>3.9620833333333332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codeName="Sheet3"/>
  <dimension ref="A1:O2401"/>
  <sheetViews>
    <sheetView topLeftCell="A2" workbookViewId="0">
      <selection activeCell="A2"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codeName="Sheet4"/>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sheetPr codeName="Sheet1"/>
  <dimension ref="R9:V14"/>
  <sheetViews>
    <sheetView tabSelected="1" zoomScale="82" zoomScaleNormal="64" workbookViewId="0">
      <selection activeCell="AC44" sqref="AC44"/>
    </sheetView>
  </sheetViews>
  <sheetFormatPr defaultRowHeight="14.4" x14ac:dyDescent="0.3"/>
  <cols>
    <col min="1" max="1" width="3.33203125" customWidth="1"/>
    <col min="2" max="2" width="22.21875" customWidth="1"/>
    <col min="3" max="4" width="3.33203125" customWidth="1"/>
    <col min="26" max="26" width="3.33203125" customWidth="1"/>
  </cols>
  <sheetData>
    <row r="9" spans="18:22" x14ac:dyDescent="0.3">
      <c r="S9">
        <f>L9</f>
        <v>0</v>
      </c>
      <c r="T9">
        <f t="shared" ref="T9:V14" si="0">M9</f>
        <v>0</v>
      </c>
      <c r="U9">
        <f t="shared" si="0"/>
        <v>0</v>
      </c>
      <c r="V9">
        <f>O9</f>
        <v>0</v>
      </c>
    </row>
    <row r="10" spans="18:22" x14ac:dyDescent="0.3">
      <c r="R10" s="16">
        <f>K10</f>
        <v>0</v>
      </c>
      <c r="S10" s="16">
        <f t="shared" ref="S10:S14" si="1">L10</f>
        <v>0</v>
      </c>
      <c r="T10" s="16">
        <f t="shared" si="0"/>
        <v>0</v>
      </c>
      <c r="U10" s="16">
        <f t="shared" si="0"/>
        <v>0</v>
      </c>
      <c r="V10" s="16">
        <f t="shared" si="0"/>
        <v>0</v>
      </c>
    </row>
    <row r="11" spans="18:22" x14ac:dyDescent="0.3">
      <c r="R11" s="16">
        <f t="shared" ref="R11:R14" si="2">K11</f>
        <v>0</v>
      </c>
      <c r="S11" s="16">
        <f t="shared" si="1"/>
        <v>0</v>
      </c>
      <c r="T11" s="16">
        <f t="shared" si="0"/>
        <v>0</v>
      </c>
      <c r="U11" s="16">
        <f t="shared" si="0"/>
        <v>0</v>
      </c>
      <c r="V11" s="16">
        <f t="shared" si="0"/>
        <v>0</v>
      </c>
    </row>
    <row r="12" spans="18:22" x14ac:dyDescent="0.3">
      <c r="R12" s="16">
        <f t="shared" si="2"/>
        <v>0</v>
      </c>
      <c r="S12" s="16">
        <f t="shared" si="1"/>
        <v>0</v>
      </c>
      <c r="T12" s="16">
        <f t="shared" si="0"/>
        <v>0</v>
      </c>
      <c r="U12" s="16">
        <f t="shared" si="0"/>
        <v>0</v>
      </c>
      <c r="V12" s="16">
        <f t="shared" si="0"/>
        <v>0</v>
      </c>
    </row>
    <row r="13" spans="18:22" x14ac:dyDescent="0.3">
      <c r="R13" s="16">
        <f t="shared" si="2"/>
        <v>0</v>
      </c>
      <c r="S13" s="16">
        <f t="shared" si="1"/>
        <v>0</v>
      </c>
      <c r="T13" s="16">
        <f t="shared" si="0"/>
        <v>0</v>
      </c>
      <c r="U13" s="16">
        <f t="shared" si="0"/>
        <v>0</v>
      </c>
      <c r="V13" s="16">
        <f t="shared" si="0"/>
        <v>0</v>
      </c>
    </row>
    <row r="14" spans="18:22" x14ac:dyDescent="0.3">
      <c r="R14" s="16">
        <f t="shared" si="2"/>
        <v>0</v>
      </c>
      <c r="S14" s="16">
        <f t="shared" si="1"/>
        <v>0</v>
      </c>
      <c r="T14" s="16">
        <f t="shared" si="0"/>
        <v>0</v>
      </c>
      <c r="U14" s="16">
        <f t="shared" si="0"/>
        <v>0</v>
      </c>
      <c r="V14" s="16">
        <f t="shared" si="0"/>
        <v>0</v>
      </c>
    </row>
  </sheetData>
  <conditionalFormatting sqref="S10:V14">
    <cfRule type="colorScale" priority="1">
      <colorScale>
        <cfvo type="min"/>
        <cfvo type="max"/>
        <color theme="6" tint="0.39997558519241921"/>
        <color theme="4" tint="0.59999389629810485"/>
      </colorScale>
    </cfRule>
    <cfRule type="colorScale" priority="2">
      <colorScale>
        <cfvo type="min"/>
        <cfvo type="max"/>
        <color rgb="FFF8696B"/>
        <color rgb="FFFCFCFF"/>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vt:lpstr>
      <vt:lpstr>Sheet8</vt:lpstr>
      <vt:lpstr>Sheet9</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suresh 43</cp:lastModifiedBy>
  <dcterms:created xsi:type="dcterms:W3CDTF">2025-06-13T02:42:26Z</dcterms:created>
  <dcterms:modified xsi:type="dcterms:W3CDTF">2025-11-10T04:31:07Z</dcterms:modified>
</cp:coreProperties>
</file>